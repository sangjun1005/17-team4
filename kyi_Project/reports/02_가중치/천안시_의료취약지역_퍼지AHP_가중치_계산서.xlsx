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da51896419469d" /></Relationships>
</file>

<file path=xl/workbook.xml><?xml version="1.0" encoding="utf-8"?>
<x:workbook xmlns:x="http://schemas.openxmlformats.org/spreadsheetml/2006/main">
  <x:sheets>
    <x:sheet xmlns:r="http://schemas.openxmlformats.org/officeDocument/2006/relationships" name="Guide" sheetId="1" r:id="R7e12493abb43435c"/>
    <x:sheet xmlns:r="http://schemas.openxmlformats.org/officeDocument/2006/relationships" name="Scale" sheetId="2" r:id="R4a74466663084fba"/>
    <x:sheet xmlns:r="http://schemas.openxmlformats.org/officeDocument/2006/relationships" name="Top" sheetId="3" r:id="R054131a9974548c9"/>
    <x:sheet xmlns:r="http://schemas.openxmlformats.org/officeDocument/2006/relationships" name="Population" sheetId="4" r:id="Rd25d003836784bf6"/>
    <x:sheet xmlns:r="http://schemas.openxmlformats.org/officeDocument/2006/relationships" name="Medical" sheetId="5" r:id="R1cf0f06dcaad44a9"/>
    <x:sheet xmlns:r="http://schemas.openxmlformats.org/officeDocument/2006/relationships" name="Transport" sheetId="6" r:id="R568064e767f54f1e"/>
    <x:sheet xmlns:r="http://schemas.openxmlformats.org/officeDocument/2006/relationships" name="Global" sheetId="7" r:id="Re7d243214b624c16"/>
    <x:sheet xmlns:r="http://schemas.openxmlformats.org/officeDocument/2006/relationships" name="Survey" sheetId="8" r:id="R0351f33a6c5049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7">
    <x:font>
      <x:sz val="11"/>
      <x:name val="Carlito"/>
    </x:font>
    <x:font>
      <x:b/>
      <x:sz val="18"/>
      <x:color rgb="FFFFFFFF"/>
      <x:name val="Carlito"/>
    </x:font>
    <x:font>
      <x:b/>
      <x:sz val="11"/>
      <x:color rgb="FFC00000"/>
      <x:name val="Carlito"/>
    </x:font>
    <x:font>
      <x:b/>
      <x:sz val="11"/>
      <x:color rgb="FFFFFFFF"/>
      <x:name val="Carlito"/>
    </x:font>
    <x:font>
      <x:b/>
      <x:sz val="11"/>
      <x:color rgb="FF17365D"/>
      <x:name val="Carlito"/>
    </x:font>
    <x:font>
      <x:sz val="11"/>
      <x:color rgb="FF375623"/>
      <x:name val="Carlito"/>
    </x:font>
    <x:font>
      <x:b/>
      <x:sz val="11"/>
      <x:color rgb="FF7F6000"/>
      <x:name val="Carlito"/>
    </x:font>
  </x:fonts>
  <x:fills count="8">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4472C4"/>
      </x:patternFill>
    </x:fill>
    <x:fill>
      <x:patternFill patternType="solid">
        <x:fgColor rgb="FFD9EAF7"/>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0" fontId="1" fillId="2" borderId="0" xfId="0" applyNumberFormat="1" applyFont="1" applyFill="1" applyBorder="1" applyAlignment="1">
      <x:alignment horizontal="left" vertical="center" wrapText="1"/>
    </x:xf>
    <x:xf numFmtId="0" fontId="6"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6" fillId="7" borderId="1" xfId="0" applyNumberFormat="1" applyFont="1" applyFill="1" applyBorder="1" applyAlignment="1">
      <x:alignment horizontal="center" vertical="center"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2">
    <x:dxf>
      <x:font>
        <x:b/>
        <x:color rgb="FF008000"/>
      </x:font>
    </x:dxf>
    <x:dxf>
      <x:font>
        <x:color rgb="FFC00000"/>
      </x:font>
    </x:dxf>
  </x:dxfs>
</x:styleSheet>
</file>

<file path=xl/_rels/workbook.xml.rels>&#65279;<?xml version="1.0" encoding="utf-8"?><Relationships xmlns="http://schemas.openxmlformats.org/package/2006/relationships"><Relationship Type="http://schemas.openxmlformats.org/officeDocument/2006/relationships/styles" Target="/xl/styles.xml" Id="R2d51afef2c1d478d" /><Relationship Type="http://schemas.openxmlformats.org/officeDocument/2006/relationships/theme" Target="/xl/theme/theme1.xml" Id="R3b1d6df7189e473b" /><Relationship Type="http://schemas.openxmlformats.org/officeDocument/2006/relationships/sharedStrings" Target="/xl/sharedStrings.xml" Id="Rfc39f973f63c4c5c" /><Relationship Type="http://schemas.openxmlformats.org/officeDocument/2006/relationships/worksheet" Target="/xl/worksheets/sheet1.xml" Id="R7e12493abb43435c" /><Relationship Type="http://schemas.openxmlformats.org/officeDocument/2006/relationships/worksheet" Target="/xl/worksheets/sheet2.xml" Id="R4a74466663084fba" /><Relationship Type="http://schemas.openxmlformats.org/officeDocument/2006/relationships/worksheet" Target="/xl/worksheets/sheet3.xml" Id="R054131a9974548c9" /><Relationship Type="http://schemas.openxmlformats.org/officeDocument/2006/relationships/worksheet" Target="/xl/worksheets/sheet4.xml" Id="Rd25d003836784bf6" /><Relationship Type="http://schemas.openxmlformats.org/officeDocument/2006/relationships/worksheet" Target="/xl/worksheets/sheet5.xml" Id="R1cf0f06dcaad44a9" /><Relationship Type="http://schemas.openxmlformats.org/officeDocument/2006/relationships/worksheet" Target="/xl/worksheets/sheet6.xml" Id="R568064e767f54f1e" /><Relationship Type="http://schemas.openxmlformats.org/officeDocument/2006/relationships/worksheet" Target="/xl/worksheets/sheet7.xml" Id="Re7d243214b624c16" /><Relationship Type="http://schemas.openxmlformats.org/officeDocument/2006/relationships/worksheet" Target="/xl/worksheets/sheet8.xml" Id="R0351f33a6c50491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87a085260014c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퍼지 AHP 최종 지표 가중치</a:t>
            </a:r>
          </a:p>
        </c:rich>
      </c:tx>
      <c:overlay val="0"/>
    </c:title>
    <c:autoTitleDeleted val="0"/>
    <c:plotArea>
      <c:layout/>
      <c:barChart>
        <c:barDir val="col"/>
        <c:varyColors val="0"/>
        <c:ser>
          <c:idx val="0"/>
          <c:order val="0"/>
          <c:tx>
            <c:v>퍼지 AHP</c:v>
          </c:tx>
          <c:cat>
            <c:strRef>
              <c:f>'Global'!$I$9:$I$16</c:f>
              <c:strCache>
                <c:ptCount val="0"/>
              </c:strCache>
            </c:strRef>
          </c:cat>
          <c:val>
            <c:numRef>
              <c:f>'Global'!$J$9:$J$16</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17</xdr:row>
      <xdr:rowOff>0</xdr:rowOff>
    </xdr:from>
    <xdr:to>
      <xdr:col>16</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7a085260014c2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ffec35fd257a4d27" /></Relationships>
</file>

<file path=xl/worksheets/sheet1.xml><?xml version="1.0" encoding="utf-8"?>
<x:worksheet xmlns:x="http://schemas.openxmlformats.org/spreadsheetml/2006/main">
  <x:sheetFormatPr defaultRowHeight="15"/>
  <x:cols>
    <x:col min="1" max="1" width="20" hidden="0" customWidth="1"/>
    <x:col min="2" max="2" width="80" hidden="0" customWidth="1"/>
  </x:cols>
  <x:sheetData>
    <x:row r="1">
      <x:c r="A1" s="5" t="str">
        <x:v>천안시 의료취약지역 프로젝트 — 퍼지 AHP 가중치 계산서</x:v>
      </x:c>
      <x:c r="B1" s="5"/>
      <x:c r="C1" s="5"/>
      <x:c r="D1" s="5"/>
      <x:c r="E1" s="5"/>
      <x:c r="F1" s="5"/>
      <x:c r="G1" s="5"/>
      <x:c r="H1" s="5"/>
    </x:row>
    <x:row r="2">
      <x:c r="A2" s="5"/>
      <x:c r="B2" s="5"/>
      <x:c r="C2" s="5"/>
      <x:c r="D2" s="5"/>
      <x:c r="E2" s="5"/>
      <x:c r="F2" s="5"/>
      <x:c r="G2" s="5"/>
      <x:c r="H2" s="5"/>
    </x:row>
    <x:row r="4">
      <x:c r="A4" s="13" t="str">
        <x:v>중요: 현재 결과는 실제 전문가 설문값이 아니라, 기존 프로젝트의 목적기반 논리를 퍼지 쌍대비교값으로 변환한 '예시 계산'입니다. 최종 발표에서 퍼지 AHP 가중치라고 사용하려면 보건·복지·의료·교통 전문가 또는 관련 실무자의 쌍대비교 응답으로 노란색 입력값을 교체해야 합니다.</x:v>
      </x:c>
      <x:c r="B4" s="13"/>
      <x:c r="C4" s="13"/>
      <x:c r="D4" s="13"/>
      <x:c r="E4" s="13"/>
      <x:c r="F4" s="13"/>
      <x:c r="G4" s="13"/>
      <x:c r="H4" s="13"/>
    </x:row>
    <x:row r="5">
      <x:c r="A5" s="13"/>
      <x:c r="B5" s="13"/>
      <x:c r="C5" s="13"/>
      <x:c r="D5" s="13"/>
      <x:c r="E5" s="13"/>
      <x:c r="F5" s="13"/>
      <x:c r="G5" s="13"/>
      <x:c r="H5" s="13"/>
    </x:row>
    <x:row r="6">
      <x:c r="A6" s="13"/>
      <x:c r="B6" s="13"/>
      <x:c r="C6" s="13"/>
      <x:c r="D6" s="13"/>
      <x:c r="E6" s="13"/>
      <x:c r="F6" s="13"/>
      <x:c r="G6" s="13"/>
      <x:c r="H6" s="13"/>
    </x:row>
    <x:row r="8">
      <x:c r="A8" s="22" t="str">
        <x:v>구분</x:v>
      </x:c>
      <x:c r="B8" s="22" t="str">
        <x:v>내용</x:v>
      </x:c>
      <x:c r="D8" s="22" t="str">
        <x:v>예시 결과 요약</x:v>
      </x:c>
      <x:c r="E8" s="22"/>
      <x:c r="F8" s="22"/>
      <x:c r="G8" s="22"/>
      <x:c r="H8" s="22"/>
    </x:row>
    <x:row r="9" ht="42" customHeight="1">
      <x:c r="A9" s="32" t="str">
        <x:v>사용 방법</x:v>
      </x:c>
      <x:c r="B9" s="38" t="str">
        <x:v>Top → Population/Medical/Transport → Global 순서로 확인합니다.</x:v>
      </x:c>
      <x:c r="D9" s="32" t="str">
        <x:v>상위 영역</x:v>
      </x:c>
      <x:c r="E9" s="32" t="str">
        <x:v>퍼지 AHP 예시 가중치</x:v>
      </x:c>
    </x:row>
    <x:row r="10" ht="42" customHeight="1">
      <x:c r="A10" s="32" t="str">
        <x:v>상위 가중치</x:v>
      </x:c>
      <x:c r="B10" s="38" t="str">
        <x:v>인구취약성, 의료취약성, 교통취약성을 서로 비교합니다.</x:v>
      </x:c>
      <x:c r="D10" t="str">
        <x:v>인구취약성</x:v>
      </x:c>
      <x:c r="E10" s="40" t="n">
        <x:v>0.5190381666892337</x:v>
      </x:c>
    </x:row>
    <x:row r="11" ht="42" customHeight="1">
      <x:c r="A11" s="32" t="str">
        <x:v>하위 가중치</x:v>
      </x:c>
      <x:c r="B11" s="38" t="str">
        <x:v>각 영역 안의 세부지표끼리 비교합니다.</x:v>
      </x:c>
      <x:c r="D11" t="str">
        <x:v>의료취약성</x:v>
      </x:c>
      <x:c r="E11" s="40" t="n">
        <x:v>0.30793335369659136</x:v>
      </x:c>
    </x:row>
    <x:row r="12" ht="42" customHeight="1">
      <x:c r="A12" s="32" t="str">
        <x:v>최종 가중치</x:v>
      </x:c>
      <x:c r="B12" s="38" t="str">
        <x:v>상위 영역 가중치 × 영역 내부 가중치로 계산합니다.</x:v>
      </x:c>
      <x:c r="D12" t="str">
        <x:v>교통취약성</x:v>
      </x:c>
      <x:c r="E12" s="40" t="n">
        <x:v>0.17302847961417492</x:v>
      </x:c>
    </x:row>
    <x:row r="13" ht="42" customHeight="1">
      <x:c r="A13" s="32" t="str">
        <x:v>퍼지 수</x:v>
      </x:c>
      <x:c r="B13" s="38" t="str">
        <x:v>판단의 불확실성을 (하한 l, 중심 m, 상한 u)의 삼각퍼지수로 표현합니다.</x:v>
      </x:c>
    </x:row>
    <x:row r="14" ht="42" customHeight="1">
      <x:c r="A14" s="32" t="str">
        <x:v>계산 방법</x:v>
      </x:c>
      <x:c r="B14" s="38" t="str">
        <x:v>각 행의 퍼지 기하평균을 구하고 퍼지합의 역수를 곱한 뒤, 중심값으로 비퍼지화·정규화합니다.</x:v>
      </x:c>
      <x:c r="D14" s="45" t="str">
        <x:v>예시 판단에서 상위 가중치는 인구 51.90%, 의료 30.79%, 교통 17.30%로 계산되었습니다. 이는 전문가 의견이 아니라 현재 프로젝트 논리를 쌍대비교로 표현한 시범 결과입니다.</x:v>
      </x:c>
      <x:c r="E14" s="45"/>
      <x:c r="F14" s="45"/>
      <x:c r="G14" s="45"/>
      <x:c r="H14" s="45"/>
    </x:row>
    <x:row r="15" ht="42" customHeight="1">
      <x:c r="A15" s="32" t="str">
        <x:v>일관성</x:v>
      </x:c>
      <x:c r="B15" s="38" t="str">
        <x:v>중심값 행렬의 AHP 일관성 비율(CR)을 함께 확인합니다. 일반적으로 0.10 미만이면 수용 가능한 판단으로 봅니다.</x:v>
      </x:c>
      <x:c r="D15" s="45"/>
      <x:c r="E15" s="45"/>
      <x:c r="F15" s="45"/>
      <x:c r="G15" s="45"/>
      <x:c r="H15" s="45"/>
    </x:row>
    <x:row r="16" ht="42" customHeight="1">
      <x:c r="A16" s="32" t="str">
        <x:v>권장 사용</x:v>
      </x:c>
      <x:c r="B16" s="38" t="str">
        <x:v>예시 결과는 설문 설계·시연용으로 사용하고, 실제 응답을 받은 후 최종 결과를 갱신합니다.</x:v>
      </x:c>
      <x:c r="D16" s="45"/>
      <x:c r="E16" s="45"/>
      <x:c r="F16" s="45"/>
      <x:c r="G16" s="45"/>
      <x:c r="H16" s="45"/>
    </x:row>
    <x:row r="17">
      <x:c r="D17" s="45"/>
      <x:c r="E17" s="45"/>
      <x:c r="F17" s="45"/>
      <x:c r="G17" s="45"/>
      <x:c r="H17" s="45"/>
    </x:row>
  </x:sheetData>
  <x:mergeCells>
    <x:mergeCell ref="A1:H2"/>
    <x:mergeCell ref="A4:H6"/>
    <x:mergeCell ref="D8:H8"/>
    <x:mergeCell ref="D14:H17"/>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26" hidden="0" customWidth="1"/>
    <x:col min="7" max="7" width="26" hidden="0" customWidth="1"/>
  </x:cols>
  <x:sheetData>
    <x:row r="1">
      <x:c r="A1" s="5" t="str">
        <x:v>퍼지 쌍대비교 언어척도</x:v>
      </x:c>
      <x:c r="B1" s="5"/>
      <x:c r="C1" s="5"/>
      <x:c r="D1" s="5"/>
      <x:c r="E1" s="5"/>
      <x:c r="F1" s="5"/>
      <x:c r="G1" s="5"/>
    </x:row>
    <x:row r="2">
      <x:c r="A2" s="5"/>
      <x:c r="B2" s="5"/>
      <x:c r="C2" s="5"/>
      <x:c r="D2" s="5"/>
      <x:c r="E2" s="5"/>
      <x:c r="F2" s="5"/>
      <x:c r="G2" s="5"/>
    </x:row>
    <x:row r="4">
      <x:c r="A4" s="22" t="str">
        <x:v>코드</x:v>
      </x:c>
      <x:c r="B4" s="22" t="str">
        <x:v>판단</x:v>
      </x:c>
      <x:c r="C4" s="22" t="str">
        <x:v>하한 l</x:v>
      </x:c>
      <x:c r="D4" s="22" t="str">
        <x:v>중심 m</x:v>
      </x:c>
      <x:c r="E4" s="22" t="str">
        <x:v>상한 u</x:v>
      </x:c>
      <x:c r="F4" s="22" t="str">
        <x:v>반대 방향 역수</x:v>
      </x:c>
      <x:c r="G4" s="22" t="str">
        <x:v>사용 예</x:v>
      </x:c>
    </x:row>
    <x:row r="5">
      <x:c r="A5" s="38" t="n">
        <x:v>1</x:v>
      </x:c>
      <x:c r="B5" s="38" t="str">
        <x:v>동일하게 중요</x:v>
      </x:c>
      <x:c r="C5" s="38" t="n">
        <x:v>1</x:v>
      </x:c>
      <x:c r="D5" s="38" t="n">
        <x:v>1</x:v>
      </x:c>
      <x:c r="E5" s="38" t="n">
        <x:v>1</x:v>
      </x:c>
      <x:c r="F5" s="38" t="str">
        <x:v>(1, 1, 1)</x:v>
      </x:c>
      <x:c r="G5" s="38" t="str">
        <x:v>두 지표의 중요성이 같음</x:v>
      </x:c>
    </x:row>
    <x:row r="6">
      <x:c r="A6" s="38" t="n">
        <x:v>2</x:v>
      </x:c>
      <x:c r="B6" s="38" t="str">
        <x:v>약간 더 중요</x:v>
      </x:c>
      <x:c r="C6" s="38" t="n">
        <x:v>1</x:v>
      </x:c>
      <x:c r="D6" s="38" t="n">
        <x:v>2</x:v>
      </x:c>
      <x:c r="E6" s="38" t="n">
        <x:v>3</x:v>
      </x:c>
      <x:c r="F6" s="38" t="str">
        <x:v>(1/3, 1/2, 1)</x:v>
      </x:c>
      <x:c r="G6" s="38" t="str">
        <x:v>왼쪽 지표가 조금 더 중요</x:v>
      </x:c>
    </x:row>
    <x:row r="7">
      <x:c r="A7" s="38" t="n">
        <x:v>3</x:v>
      </x:c>
      <x:c r="B7" s="38" t="str">
        <x:v>보통 이상 중요</x:v>
      </x:c>
      <x:c r="C7" s="38" t="n">
        <x:v>2</x:v>
      </x:c>
      <x:c r="D7" s="38" t="n">
        <x:v>3</x:v>
      </x:c>
      <x:c r="E7" s="38" t="n">
        <x:v>4</x:v>
      </x:c>
      <x:c r="F7" s="38" t="str">
        <x:v>(1/4, 1/3, 1/2)</x:v>
      </x:c>
      <x:c r="G7" s="38" t="str">
        <x:v>왼쪽 지표가 명확히 더 중요</x:v>
      </x:c>
    </x:row>
    <x:row r="8">
      <x:c r="A8" s="38" t="n">
        <x:v>4</x:v>
      </x:c>
      <x:c r="B8" s="38" t="str">
        <x:v>강하게 중요</x:v>
      </x:c>
      <x:c r="C8" s="38" t="n">
        <x:v>4</x:v>
      </x:c>
      <x:c r="D8" s="38" t="n">
        <x:v>5</x:v>
      </x:c>
      <x:c r="E8" s="38" t="n">
        <x:v>6</x:v>
      </x:c>
      <x:c r="F8" s="38" t="str">
        <x:v>(1/6, 1/5, 1/4)</x:v>
      </x:c>
      <x:c r="G8" s="38" t="str">
        <x:v>왼쪽 지표가 강하게 중요</x:v>
      </x:c>
    </x:row>
    <x:row r="9">
      <x:c r="A9" s="38" t="n">
        <x:v>5</x:v>
      </x:c>
      <x:c r="B9" s="38" t="str">
        <x:v>매우 강하게 중요</x:v>
      </x:c>
      <x:c r="C9" s="38" t="n">
        <x:v>6</x:v>
      </x:c>
      <x:c r="D9" s="38" t="n">
        <x:v>7</x:v>
      </x:c>
      <x:c r="E9" s="38" t="n">
        <x:v>8</x:v>
      </x:c>
      <x:c r="F9" s="38" t="str">
        <x:v>(1/8, 1/7, 1/6)</x:v>
      </x:c>
      <x:c r="G9" s="38" t="str">
        <x:v>왼쪽 지표가 매우 강하게 중요</x:v>
      </x:c>
    </x:row>
    <x:row r="10">
      <x:c r="A10" s="38" t="n">
        <x:v>6</x:v>
      </x:c>
      <x:c r="B10" s="38" t="str">
        <x:v>극단적으로 중요</x:v>
      </x:c>
      <x:c r="C10" s="38" t="n">
        <x:v>8</x:v>
      </x:c>
      <x:c r="D10" s="38" t="n">
        <x:v>9</x:v>
      </x:c>
      <x:c r="E10" s="38" t="n">
        <x:v>9</x:v>
      </x:c>
      <x:c r="F10" s="38" t="str">
        <x:v>(1/9, 1/9, 1/8)</x:v>
      </x:c>
      <x:c r="G10" s="38" t="str">
        <x:v>왼쪽 지표가 압도적으로 중요</x:v>
      </x:c>
    </x:row>
    <x:row r="13">
      <x:c r="A13" s="45" t="str">
        <x:v>예: '인구취약성이 의료취약성보다 약간 더 중요하다'고 판단하면 (1, 2, 3)을 입력합니다. 반대 위치인 '의료취약성 대 인구취약성'에는 역수인 (1/3, 1/2, 1)이 자동으로 대응합니다. 퍼지 범위는 판단이 정확히 하나의 숫자로 고정되지 않는 불확실성을 표현합니다.</x:v>
      </x:c>
      <x:c r="B13" s="45"/>
      <x:c r="C13" s="45"/>
      <x:c r="D13" s="45"/>
      <x:c r="E13" s="45"/>
      <x:c r="F13" s="45"/>
      <x:c r="G13" s="45"/>
    </x:row>
    <x:row r="14">
      <x:c r="A14" s="45"/>
      <x:c r="B14" s="45"/>
      <x:c r="C14" s="45"/>
      <x:c r="D14" s="45"/>
      <x:c r="E14" s="45"/>
      <x:c r="F14" s="45"/>
      <x:c r="G14" s="45"/>
    </x:row>
    <x:row r="15">
      <x:c r="A15" s="45"/>
      <x:c r="B15" s="45"/>
      <x:c r="C15" s="45"/>
      <x:c r="D15" s="45"/>
      <x:c r="E15" s="45"/>
      <x:c r="F15" s="45"/>
      <x:c r="G15" s="45"/>
    </x:row>
    <x:row r="16">
      <x:c r="A16" s="45"/>
      <x:c r="B16" s="45"/>
      <x:c r="C16" s="45"/>
      <x:c r="D16" s="45"/>
      <x:c r="E16" s="45"/>
      <x:c r="F16" s="45"/>
      <x:c r="G16" s="45"/>
    </x:row>
    <x:row r="17">
      <x:c r="A17" s="45"/>
      <x:c r="B17" s="45"/>
      <x:c r="C17" s="45"/>
      <x:c r="D17" s="45"/>
      <x:c r="E17" s="45"/>
      <x:c r="F17" s="45"/>
      <x:c r="G17" s="45"/>
    </x:row>
  </x:sheetData>
  <x:mergeCells>
    <x:mergeCell ref="A1:G2"/>
    <x:mergeCell ref="A13:G17"/>
  </x:mergeCells>
  <x:pageMargins left="0.7" right="0.7" top="0.75" bottom="0.75" header="0.3" footer="0.3"/>
</x:worksheet>
</file>

<file path=xl/worksheets/sheet3.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4"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x:c r="A1" s="60" t="str">
        <x:v>퍼지 AHP 계산 — 상위 영역: 인구·의료·교통</x:v>
      </x:c>
      <x:c r="B1" s="60"/>
      <x:c r="C1" s="60"/>
      <x:c r="D1" s="60"/>
      <x:c r="E1" s="60"/>
      <x:c r="F1" s="60"/>
      <x:c r="G1" s="60"/>
      <x:c r="H1" s="60"/>
      <x:c r="I1" s="60"/>
      <x:c r="J1" s="60"/>
      <x:c r="K1" s="60"/>
      <x:c r="L1" s="60"/>
      <x:c r="M1" s="60"/>
      <x:c r="N1" s="60"/>
      <x:c r="O1" s="60"/>
      <x:c r="P1" s="60"/>
      <x:c r="Q1" s="60"/>
      <x:c r="R1" s="60"/>
      <x:c r="S1" s="60"/>
      <x:c r="T1" s="60"/>
      <x:c r="U1" s="60"/>
      <x:c r="V1" s="60"/>
      <x:c r="W1" s="60"/>
      <x:c r="X1" s="60"/>
      <x:c r="Y1" s="60"/>
      <x:c r="Z1" s="60"/>
      <x:c r="AA1" s="60"/>
      <x:c r="AB1" s="60"/>
      <x:c r="AC1" s="60"/>
      <x:c r="AD1" s="60"/>
      <x:c r="AE1" s="38"/>
      <x:c r="AF1" s="38"/>
      <x:c r="AG1" s="38"/>
      <x:c r="AH1" s="38"/>
      <x:c r="AI1" s="38"/>
    </x:row>
    <x:row r="2">
      <x:c r="A2" s="60"/>
      <x:c r="B2" s="60"/>
      <x:c r="C2" s="60"/>
      <x:c r="D2" s="60"/>
      <x:c r="E2" s="60"/>
      <x:c r="F2" s="60"/>
      <x:c r="G2" s="60"/>
      <x:c r="H2" s="60"/>
      <x:c r="I2" s="60"/>
      <x:c r="J2" s="60"/>
      <x:c r="K2" s="60"/>
      <x:c r="L2" s="60"/>
      <x:c r="M2" s="60"/>
      <x:c r="N2" s="60"/>
      <x:c r="O2" s="60"/>
      <x:c r="P2" s="60"/>
      <x:c r="Q2" s="60"/>
      <x:c r="R2" s="60"/>
      <x:c r="S2" s="60"/>
      <x:c r="T2" s="60"/>
      <x:c r="U2" s="60"/>
      <x:c r="V2" s="60"/>
      <x:c r="W2" s="60"/>
      <x:c r="X2" s="60"/>
      <x:c r="Y2" s="60"/>
      <x:c r="Z2" s="60"/>
      <x:c r="AA2" s="60"/>
      <x:c r="AB2" s="60"/>
      <x:c r="AC2" s="60"/>
      <x:c r="AD2" s="60"/>
      <x:c r="AE2" s="38"/>
      <x:c r="AF2" s="38"/>
      <x:c r="AG2" s="38"/>
      <x:c r="AH2" s="38"/>
      <x:c r="AI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row>
    <x:row r="4">
      <x:c r="A4" s="22" t="str">
        <x:v>비교대상 A</x:v>
      </x:c>
      <x:c r="B4" s="22" t="str">
        <x:v>비교대상 B</x:v>
      </x:c>
      <x:c r="C4" s="22" t="str">
        <x:v>언어판단</x:v>
      </x:c>
      <x:c r="D4" s="22" t="str">
        <x:v>하한 l</x:v>
      </x:c>
      <x:c r="E4" s="22" t="str">
        <x:v>중심 m</x:v>
      </x:c>
      <x:c r="F4" s="22" t="str">
        <x:v>상한 u</x:v>
      </x:c>
      <x:c r="G4" s="22" t="str">
        <x:v>판단 근거</x:v>
      </x:c>
      <x:c r="H4" s="38"/>
      <x:c r="I4" s="22" t="str">
        <x:v>하한행렬 L</x:v>
      </x:c>
      <x:c r="J4" s="22"/>
      <x:c r="K4" s="22"/>
      <x:c r="L4" s="22"/>
      <x:c r="M4" s="38"/>
      <x:c r="N4" s="38"/>
      <x:c r="O4" s="22" t="str">
        <x:v>중심행렬 M</x:v>
      </x:c>
      <x:c r="P4" s="22"/>
      <x:c r="Q4" s="22"/>
      <x:c r="R4" s="22"/>
      <x:c r="S4" s="38"/>
      <x:c r="T4" s="38"/>
      <x:c r="U4" s="22" t="str">
        <x:v>상한행렬 U</x:v>
      </x:c>
      <x:c r="V4" s="22"/>
      <x:c r="W4" s="22"/>
      <x:c r="X4" s="22"/>
      <x:c r="Y4" s="38"/>
      <x:c r="Z4" s="38"/>
      <x:c r="AA4" s="22" t="str">
        <x:v>기준</x:v>
      </x:c>
      <x:c r="AB4" s="22" t="str">
        <x:v>GM-l</x:v>
      </x:c>
      <x:c r="AC4" s="22" t="str">
        <x:v>GM-m</x:v>
      </x:c>
      <x:c r="AD4" s="22" t="str">
        <x:v>GM-u</x:v>
      </x:c>
      <x:c r="AE4" s="22" t="str">
        <x:v>W-l</x:v>
      </x:c>
      <x:c r="AF4" s="22" t="str">
        <x:v>W-m</x:v>
      </x:c>
      <x:c r="AG4" s="22" t="str">
        <x:v>W-u</x:v>
      </x:c>
      <x:c r="AH4" s="22" t="str">
        <x:v>비퍼지화</x:v>
      </x:c>
      <x:c r="AI4" s="22" t="str">
        <x:v>정규화 가중치</x:v>
      </x:c>
    </x:row>
    <x:row r="5">
      <x:c r="A5" s="38" t="str">
        <x:v>인구취약성</x:v>
      </x:c>
      <x:c r="B5" s="38" t="str">
        <x:v>의료취약성</x:v>
      </x:c>
      <x:c r="C5" s="61" t="str">
        <x:v>약간 더 중요</x:v>
      </x:c>
      <x:c r="D5" s="61" t="n">
        <x:v>1</x:v>
      </x:c>
      <x:c r="E5" s="61" t="n">
        <x:v>2</x:v>
      </x:c>
      <x:c r="F5" s="61" t="n">
        <x:v>3</x:v>
      </x:c>
      <x:c r="G5" s="38" t="str">
        <x:v>방문건강관리의 직접 대상수요를 우선 반영</x:v>
      </x:c>
      <x:c r="H5" s="38"/>
      <x:c r="I5" s="32" t="str">
        <x:v>기준</x:v>
      </x:c>
      <x:c r="J5" s="32" t="str">
        <x:v>인구취약성</x:v>
      </x:c>
      <x:c r="K5" s="32" t="str">
        <x:v>의료취약성</x:v>
      </x:c>
      <x:c r="L5" s="32" t="str">
        <x:v>교통취약성</x:v>
      </x:c>
      <x:c r="M5" s="38"/>
      <x:c r="N5" s="38"/>
      <x:c r="O5" s="32" t="str">
        <x:v>기준</x:v>
      </x:c>
      <x:c r="P5" s="32" t="str">
        <x:v>인구취약성</x:v>
      </x:c>
      <x:c r="Q5" s="32" t="str">
        <x:v>의료취약성</x:v>
      </x:c>
      <x:c r="R5" s="32" t="str">
        <x:v>교통취약성</x:v>
      </x:c>
      <x:c r="S5" s="38"/>
      <x:c r="T5" s="38"/>
      <x:c r="U5" s="32" t="str">
        <x:v>기준</x:v>
      </x:c>
      <x:c r="V5" s="32" t="str">
        <x:v>인구취약성</x:v>
      </x:c>
      <x:c r="W5" s="32" t="str">
        <x:v>의료취약성</x:v>
      </x:c>
      <x:c r="X5" s="32" t="str">
        <x:v>교통취약성</x:v>
      </x:c>
      <x:c r="Y5" s="38"/>
      <x:c r="Z5" s="38"/>
      <x:c r="AA5" s="38" t="str">
        <x:v>인구취약성</x:v>
      </x:c>
      <x:c r="AB5" s="62" t="n">
        <x:f>POWER(PRODUCT(J6:L6),1/3)</x:f>
        <x:v>1.2599210498948732</x:v>
      </x:c>
      <x:c r="AC5" s="62" t="n">
        <x:f>POWER(PRODUCT(P6:R6),1/3)</x:f>
        <x:v>1.8171205928321397</x:v>
      </x:c>
      <x:c r="AD5" s="62" t="n">
        <x:f>POWER(PRODUCT(V6:X6),1/3)</x:f>
        <x:v>2.2894284851066637</x:v>
      </x:c>
      <x:c r="AE5" s="62" t="n">
        <x:f>AB5/$AD$8</x:f>
        <x:v>0.2784122979398565</x:v>
      </x:c>
      <x:c r="AF5" s="62" t="n">
        <x:f>AC5/$AC$8</x:f>
        <x:v>0.5396145502210746</x:v>
      </x:c>
      <x:c r="AG5" s="62" t="n">
        <x:f>AD5/$AB$8</x:f>
        <x:v>0.9578907881986688</x:v>
      </x:c>
      <x:c r="AH5" s="62" t="n">
        <x:f>(AE5+AF5+AG5)/3</x:f>
        <x:v>0.5919725454532</x:v>
      </x:c>
      <x:c r="AI5" s="63" t="n">
        <x:f>AH5/SUM($AH$5:$AH$7)</x:f>
        <x:v>0.5190381666892337</x:v>
      </x:c>
    </x:row>
    <x:row r="6">
      <x:c r="A6" s="38" t="str">
        <x:v>인구취약성</x:v>
      </x:c>
      <x:c r="B6" s="38" t="str">
        <x:v>교통취약성</x:v>
      </x:c>
      <x:c r="C6" s="61" t="str">
        <x:v>보통 이상 중요</x:v>
      </x:c>
      <x:c r="D6" s="61" t="n">
        <x:v>2</x:v>
      </x:c>
      <x:c r="E6" s="61" t="n">
        <x:v>3</x:v>
      </x:c>
      <x:c r="F6" s="61" t="n">
        <x:v>4</x:v>
      </x:c>
      <x:c r="G6" s="38" t="str">
        <x:v>교통은 접근성 보완요인이고 인구는 직접 수요</x:v>
      </x:c>
      <x:c r="H6" s="38"/>
      <x:c r="I6" s="32" t="str">
        <x:v>인구취약성</x:v>
      </x:c>
      <x:c r="J6" s="62" t="n">
        <x:v>1</x:v>
      </x:c>
      <x:c r="K6" s="62" t="n">
        <x:f>D5</x:f>
        <x:v>1</x:v>
      </x:c>
      <x:c r="L6" s="62" t="n">
        <x:f>D6</x:f>
        <x:v>2</x:v>
      </x:c>
      <x:c r="M6" s="38"/>
      <x:c r="N6" s="38"/>
      <x:c r="O6" s="32" t="str">
        <x:v>인구취약성</x:v>
      </x:c>
      <x:c r="P6" s="62" t="n">
        <x:v>1</x:v>
      </x:c>
      <x:c r="Q6" s="62" t="n">
        <x:f>E5</x:f>
        <x:v>2</x:v>
      </x:c>
      <x:c r="R6" s="62" t="n">
        <x:f>E6</x:f>
        <x:v>3</x:v>
      </x:c>
      <x:c r="S6" s="38"/>
      <x:c r="T6" s="38"/>
      <x:c r="U6" s="32" t="str">
        <x:v>인구취약성</x:v>
      </x:c>
      <x:c r="V6" s="62" t="n">
        <x:v>1</x:v>
      </x:c>
      <x:c r="W6" s="62" t="n">
        <x:f>F5</x:f>
        <x:v>3</x:v>
      </x:c>
      <x:c r="X6" s="62" t="n">
        <x:f>F6</x:f>
        <x:v>4</x:v>
      </x:c>
      <x:c r="Y6" s="38"/>
      <x:c r="Z6" s="38"/>
      <x:c r="AA6" s="38" t="str">
        <x:v>의료취약성</x:v>
      </x:c>
      <x:c r="AB6" s="62" t="n">
        <x:f>POWER(PRODUCT(J7:L7),1/3)</x:f>
        <x:v>0.6933612743506347</x:v>
      </x:c>
      <x:c r="AC6" s="62" t="n">
        <x:f>POWER(PRODUCT(P7:R7),1/3)</x:f>
        <x:v>1</x:v>
      </x:c>
      <x:c r="AD6" s="62" t="n">
        <x:f>POWER(PRODUCT(V7:X7),1/3)</x:f>
        <x:v>1.4422495703074083</x:v>
      </x:c>
      <x:c r="AE6" s="62" t="n">
        <x:f>AB6/$AD$8</x:f>
        <x:v>0.15321619216583027</x:v>
      </x:c>
      <x:c r="AF6" s="62" t="n">
        <x:f>AC6/$AC$8</x:f>
        <x:v>0.2969613312124974</x:v>
      </x:c>
      <x:c r="AG6" s="62" t="n">
        <x:f>AD6/$AB$8</x:f>
        <x:v>0.6034333837759471</x:v>
      </x:c>
      <x:c r="AH6" s="62" t="n">
        <x:f>(AE6+AF6+AG6)/3</x:f>
        <x:v>0.3512036357180916</x:v>
      </x:c>
      <x:c r="AI6" s="63" t="n">
        <x:f>AH6/SUM($AH$5:$AH$7)</x:f>
        <x:v>0.30793335369659136</x:v>
      </x:c>
    </x:row>
    <x:row r="7">
      <x:c r="A7" s="38" t="str">
        <x:v>의료취약성</x:v>
      </x:c>
      <x:c r="B7" s="38" t="str">
        <x:v>교통취약성</x:v>
      </x:c>
      <x:c r="C7" s="61" t="str">
        <x:v>약간 더 중요</x:v>
      </x:c>
      <x:c r="D7" s="61" t="n">
        <x:v>1</x:v>
      </x:c>
      <x:c r="E7" s="61" t="n">
        <x:v>2</x:v>
      </x:c>
      <x:c r="F7" s="61" t="n">
        <x:v>3</x:v>
      </x:c>
      <x:c r="G7" s="38" t="str">
        <x:v>의료공급 부족을 교통보다 직접적인 취약요인으로 판단</x:v>
      </x:c>
      <x:c r="H7" s="38"/>
      <x:c r="I7" s="32" t="str">
        <x:v>의료취약성</x:v>
      </x:c>
      <x:c r="J7" s="62" t="n">
        <x:f>1/F5</x:f>
        <x:v>0.3333333333333333</x:v>
      </x:c>
      <x:c r="K7" s="62" t="n">
        <x:v>1</x:v>
      </x:c>
      <x:c r="L7" s="62" t="n">
        <x:f>D7</x:f>
        <x:v>1</x:v>
      </x:c>
      <x:c r="M7" s="38"/>
      <x:c r="N7" s="38"/>
      <x:c r="O7" s="32" t="str">
        <x:v>의료취약성</x:v>
      </x:c>
      <x:c r="P7" s="62" t="n">
        <x:f>1/E5</x:f>
        <x:v>0.5</x:v>
      </x:c>
      <x:c r="Q7" s="62" t="n">
        <x:v>1</x:v>
      </x:c>
      <x:c r="R7" s="62" t="n">
        <x:f>E7</x:f>
        <x:v>2</x:v>
      </x:c>
      <x:c r="S7" s="38"/>
      <x:c r="T7" s="38"/>
      <x:c r="U7" s="32" t="str">
        <x:v>의료취약성</x:v>
      </x:c>
      <x:c r="V7" s="62" t="n">
        <x:f>1/D5</x:f>
        <x:v>1</x:v>
      </x:c>
      <x:c r="W7" s="62" t="n">
        <x:v>1</x:v>
      </x:c>
      <x:c r="X7" s="62" t="n">
        <x:f>F7</x:f>
        <x:v>3</x:v>
      </x:c>
      <x:c r="Y7" s="38"/>
      <x:c r="Z7" s="38"/>
      <x:c r="AA7" s="38" t="str">
        <x:v>교통취약성</x:v>
      </x:c>
      <x:c r="AB7" s="62" t="n">
        <x:f>POWER(PRODUCT(J8:L8),1/3)</x:f>
        <x:v>0.43679023236814946</x:v>
      </x:c>
      <x:c r="AC7" s="62" t="n">
        <x:f>POWER(PRODUCT(P8:R8),1/3)</x:f>
        <x:v>0.5503212081491045</x:v>
      </x:c>
      <x:c r="AD7" s="62" t="n">
        <x:f>POWER(PRODUCT(V8:X8),1/3)</x:f>
        <x:v>0.7937005259840998</x:v>
      </x:c>
      <x:c r="AE7" s="62" t="n">
        <x:f>AB7/$AD$8</x:f>
        <x:v>0.09652015284723375</x:v>
      </x:c>
      <x:c r="AF7" s="62" t="n">
        <x:f>AC7/$AC$8</x:f>
        <x:v>0.1634241185664279</x:v>
      </x:c>
      <x:c r="AG7" s="62" t="n">
        <x:f>AD7/$AB$8</x:f>
        <x:v>0.3320821887970815</x:v>
      </x:c>
      <x:c r="AH7" s="62" t="n">
        <x:f>(AE7+AF7+AG7)/3</x:f>
        <x:v>0.19734215340358108</x:v>
      </x:c>
      <x:c r="AI7" s="63" t="n">
        <x:f>AH7/SUM($AH$5:$AH$7)</x:f>
        <x:v>0.17302847961417492</x:v>
      </x:c>
    </x:row>
    <x:row r="8">
      <x:c r="A8" s="38"/>
      <x:c r="B8" s="38"/>
      <x:c r="C8" s="38"/>
      <x:c r="D8" s="38"/>
      <x:c r="E8" s="38"/>
      <x:c r="F8" s="38"/>
      <x:c r="G8" s="38"/>
      <x:c r="H8" s="38"/>
      <x:c r="I8" s="32" t="str">
        <x:v>교통취약성</x:v>
      </x:c>
      <x:c r="J8" s="62" t="n">
        <x:f>1/F6</x:f>
        <x:v>0.25</x:v>
      </x:c>
      <x:c r="K8" s="62" t="n">
        <x:f>1/F7</x:f>
        <x:v>0.3333333333333333</x:v>
      </x:c>
      <x:c r="L8" s="62" t="n">
        <x:v>1</x:v>
      </x:c>
      <x:c r="M8" s="38"/>
      <x:c r="N8" s="38"/>
      <x:c r="O8" s="32" t="str">
        <x:v>교통취약성</x:v>
      </x:c>
      <x:c r="P8" s="62" t="n">
        <x:f>1/E6</x:f>
        <x:v>0.3333333333333333</x:v>
      </x:c>
      <x:c r="Q8" s="62" t="n">
        <x:f>1/E7</x:f>
        <x:v>0.5</x:v>
      </x:c>
      <x:c r="R8" s="62" t="n">
        <x:v>1</x:v>
      </x:c>
      <x:c r="S8" s="38"/>
      <x:c r="T8" s="38"/>
      <x:c r="U8" s="32" t="str">
        <x:v>교통취약성</x:v>
      </x:c>
      <x:c r="V8" s="62" t="n">
        <x:f>1/D6</x:f>
        <x:v>0.5</x:v>
      </x:c>
      <x:c r="W8" s="62" t="n">
        <x:f>1/D7</x:f>
        <x:v>1</x:v>
      </x:c>
      <x:c r="X8" s="62" t="n">
        <x:v>1</x:v>
      </x:c>
      <x:c r="Y8" s="38"/>
      <x:c r="Z8" s="38"/>
      <x:c r="AA8" s="32" t="str">
        <x:v>합계</x:v>
      </x:c>
      <x:c r="AB8" s="32" t="n">
        <x:f>SUM(AB5:AB7)</x:f>
        <x:v>2.3900725566136574</x:v>
      </x:c>
      <x:c r="AC8" s="32" t="n">
        <x:f>SUM(AC5:AC7)</x:f>
        <x:v>3.3674418009812443</x:v>
      </x:c>
      <x:c r="AD8" s="32" t="n">
        <x:f>SUM(AD5:AD7)</x:f>
        <x:v>4.525378581398172</x:v>
      </x:c>
      <x:c r="AE8" s="38"/>
      <x:c r="AF8" s="38"/>
      <x:c r="AG8" s="38"/>
      <x:c r="AH8" s="38"/>
      <x:c r="AI8" s="38"/>
    </x:row>
    <x:row r="9">
      <x:c r="A9" s="38"/>
      <x:c r="B9" s="38"/>
      <x:c r="C9" s="38"/>
      <x:c r="D9" s="38"/>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row>
    <x:row r="10">
      <x:c r="A10" s="38"/>
      <x:c r="B10" s="38"/>
      <x:c r="C10" s="38"/>
      <x:c r="D10" s="38"/>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row>
    <x:row r="15">
      <x:c r="A15" s="22" t="str">
        <x:v>일관성 검증</x:v>
      </x:c>
      <x:c r="B15" s="22" t="str">
        <x:v>λmax</x:v>
      </x:c>
      <x:c r="C15" s="22" t="str">
        <x:v>CI</x:v>
      </x:c>
      <x:c r="D15" s="22" t="str">
        <x:v>CR</x:v>
      </x:c>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row>
    <x:row r="16">
      <x:c r="A16" s="38" t="str">
        <x:v>중심값 행렬 기준</x:v>
      </x:c>
      <x:c r="B16" s="62" t="n">
        <x:v>3.009202712714283</x:v>
      </x:c>
      <x:c r="C16" s="62" t="n">
        <x:v>0.004601356357141428</x:v>
      </x:c>
      <x:c r="D16" s="62" t="n">
        <x:v>0.007933373029554188</x:v>
      </x:c>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row>
    <x:row r="18">
      <x:c r="A18" s="45" t="str">
        <x:v>일관성 판단: 수용 가능(CR &lt; 0.10). 현재 예시 판단의 CR은 0.0079입니다. 실제 전문가 응답으로 변경한 뒤에도 CR을 다시 확인해야 합니다.</x:v>
      </x:c>
      <x:c r="B18" s="45"/>
      <x:c r="C18" s="45"/>
      <x:c r="D18" s="45"/>
      <x:c r="E18" s="45"/>
      <x:c r="F18" s="45"/>
      <x:c r="G18" s="45"/>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row>
    <x:row r="19">
      <x:c r="A19" s="45"/>
      <x:c r="B19" s="45"/>
      <x:c r="C19" s="45"/>
      <x:c r="D19" s="45"/>
      <x:c r="E19" s="45"/>
      <x:c r="F19" s="45"/>
      <x:c r="G19" s="45"/>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row>
    <x:row r="20">
      <x:c r="A20" s="45"/>
      <x:c r="B20" s="45"/>
      <x:c r="C20" s="45"/>
      <x:c r="D20" s="45"/>
      <x:c r="E20" s="45"/>
      <x:c r="F20" s="45"/>
      <x:c r="G20" s="45"/>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row>
  </x:sheetData>
  <x:mergeCells>
    <x:mergeCell ref="A1:AD2"/>
    <x:mergeCell ref="I4:L4"/>
    <x:mergeCell ref="O4:R4"/>
    <x:mergeCell ref="U4:X4"/>
    <x:mergeCell ref="A18:G20"/>
  </x:mergeCells>
  <x:conditionalFormatting sqref="AI5:AI7">
    <x:cfRule type="dataBar" priority="1">
      <x:dataBar>
        <x:cfvo type="min"/>
        <x:cfvo type="max"/>
        <x:color rgb="FF4472C4"/>
      </x:dataBar>
      <x:extLst>
        <x:ext xmlns:x14="http://schemas.microsoft.com/office/spreadsheetml/2009/9/main" uri="{B025F937-C7B1-47D3-B67F-A62EFF666E3E}">
          <x14:id>{0E3C189E-5606-60AC-63C0-190E09B78059}</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0E3C189E-5606-60AC-63C0-190E09B78059}">
            <x14:dataBar gradient="1">
              <x14:cfvo type="min"/>
              <x14:cfvo type="max"/>
              <x14:fillColor rgb="FF4472C4"/>
            </x14:dataBar>
          </x14:cfRule>
          <xm:sqref>AI5:AI7</xm:sqref>
        </x14:conditionalFormatting>
      </x14:conditionalFormattings>
    </x:ext>
  </x:extLst>
</x:worksheet>
</file>

<file path=xl/worksheets/sheet4.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4"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x:c r="A1" s="60" t="str">
        <x:v>퍼지 AHP 계산 — 인구취약성 하위지표</x:v>
      </x:c>
      <x:c r="B1" s="60"/>
      <x:c r="C1" s="60"/>
      <x:c r="D1" s="60"/>
      <x:c r="E1" s="60"/>
      <x:c r="F1" s="60"/>
      <x:c r="G1" s="60"/>
      <x:c r="H1" s="60"/>
      <x:c r="I1" s="60"/>
      <x:c r="J1" s="60"/>
      <x:c r="K1" s="60"/>
      <x:c r="L1" s="60"/>
      <x:c r="M1" s="60"/>
      <x:c r="N1" s="60"/>
      <x:c r="O1" s="60"/>
      <x:c r="P1" s="60"/>
      <x:c r="Q1" s="60"/>
      <x:c r="R1" s="60"/>
      <x:c r="S1" s="60"/>
      <x:c r="T1" s="60"/>
      <x:c r="U1" s="60"/>
      <x:c r="V1" s="60"/>
      <x:c r="W1" s="60"/>
      <x:c r="X1" s="60"/>
      <x:c r="Y1" s="60"/>
      <x:c r="Z1" s="60"/>
      <x:c r="AA1" s="60"/>
      <x:c r="AB1" s="60"/>
      <x:c r="AC1" s="60"/>
      <x:c r="AD1" s="60"/>
      <x:c r="AE1" s="38"/>
      <x:c r="AF1" s="38"/>
      <x:c r="AG1" s="38"/>
      <x:c r="AH1" s="38"/>
      <x:c r="AI1" s="38"/>
    </x:row>
    <x:row r="2">
      <x:c r="A2" s="60"/>
      <x:c r="B2" s="60"/>
      <x:c r="C2" s="60"/>
      <x:c r="D2" s="60"/>
      <x:c r="E2" s="60"/>
      <x:c r="F2" s="60"/>
      <x:c r="G2" s="60"/>
      <x:c r="H2" s="60"/>
      <x:c r="I2" s="60"/>
      <x:c r="J2" s="60"/>
      <x:c r="K2" s="60"/>
      <x:c r="L2" s="60"/>
      <x:c r="M2" s="60"/>
      <x:c r="N2" s="60"/>
      <x:c r="O2" s="60"/>
      <x:c r="P2" s="60"/>
      <x:c r="Q2" s="60"/>
      <x:c r="R2" s="60"/>
      <x:c r="S2" s="60"/>
      <x:c r="T2" s="60"/>
      <x:c r="U2" s="60"/>
      <x:c r="V2" s="60"/>
      <x:c r="W2" s="60"/>
      <x:c r="X2" s="60"/>
      <x:c r="Y2" s="60"/>
      <x:c r="Z2" s="60"/>
      <x:c r="AA2" s="60"/>
      <x:c r="AB2" s="60"/>
      <x:c r="AC2" s="60"/>
      <x:c r="AD2" s="60"/>
      <x:c r="AE2" s="38"/>
      <x:c r="AF2" s="38"/>
      <x:c r="AG2" s="38"/>
      <x:c r="AH2" s="38"/>
      <x:c r="AI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row>
    <x:row r="4">
      <x:c r="A4" s="22" t="str">
        <x:v>비교대상 A</x:v>
      </x:c>
      <x:c r="B4" s="22" t="str">
        <x:v>비교대상 B</x:v>
      </x:c>
      <x:c r="C4" s="22" t="str">
        <x:v>언어판단</x:v>
      </x:c>
      <x:c r="D4" s="22" t="str">
        <x:v>하한 l</x:v>
      </x:c>
      <x:c r="E4" s="22" t="str">
        <x:v>중심 m</x:v>
      </x:c>
      <x:c r="F4" s="22" t="str">
        <x:v>상한 u</x:v>
      </x:c>
      <x:c r="G4" s="22" t="str">
        <x:v>판단 근거</x:v>
      </x:c>
      <x:c r="H4" s="38"/>
      <x:c r="I4" s="22" t="str">
        <x:v>하한행렬 L</x:v>
      </x:c>
      <x:c r="J4" s="22"/>
      <x:c r="K4" s="22"/>
      <x:c r="L4" s="22"/>
      <x:c r="M4" s="22"/>
      <x:c r="N4" s="38"/>
      <x:c r="O4" s="22" t="str">
        <x:v>중심행렬 M</x:v>
      </x:c>
      <x:c r="P4" s="22"/>
      <x:c r="Q4" s="22"/>
      <x:c r="R4" s="22"/>
      <x:c r="S4" s="22"/>
      <x:c r="T4" s="38"/>
      <x:c r="U4" s="22" t="str">
        <x:v>상한행렬 U</x:v>
      </x:c>
      <x:c r="V4" s="22"/>
      <x:c r="W4" s="22"/>
      <x:c r="X4" s="22"/>
      <x:c r="Y4" s="22"/>
      <x:c r="Z4" s="38"/>
      <x:c r="AA4" s="22" t="str">
        <x:v>기준</x:v>
      </x:c>
      <x:c r="AB4" s="22" t="str">
        <x:v>GM-l</x:v>
      </x:c>
      <x:c r="AC4" s="22" t="str">
        <x:v>GM-m</x:v>
      </x:c>
      <x:c r="AD4" s="22" t="str">
        <x:v>GM-u</x:v>
      </x:c>
      <x:c r="AE4" s="22" t="str">
        <x:v>W-l</x:v>
      </x:c>
      <x:c r="AF4" s="22" t="str">
        <x:v>W-m</x:v>
      </x:c>
      <x:c r="AG4" s="22" t="str">
        <x:v>W-u</x:v>
      </x:c>
      <x:c r="AH4" s="22" t="str">
        <x:v>비퍼지화</x:v>
      </x:c>
      <x:c r="AI4" s="22" t="str">
        <x:v>정규화 가중치</x:v>
      </x:c>
    </x:row>
    <x:row r="5">
      <x:c r="A5" s="38" t="str">
        <x:v>고령인구 비율</x:v>
      </x:c>
      <x:c r="B5" s="38" t="str">
        <x:v>독거노인 비율</x:v>
      </x:c>
      <x:c r="C5" s="61" t="str">
        <x:v>동일하게 중요</x:v>
      </x:c>
      <x:c r="D5" s="61" t="n">
        <x:v>1</x:v>
      </x:c>
      <x:c r="E5" s="61" t="n">
        <x:v>1</x:v>
      </x:c>
      <x:c r="F5" s="61" t="n">
        <x:v>1</x:v>
      </x:c>
      <x:c r="G5" s="38" t="str">
        <x:v>지역 고령화 구조와 방문지원 필요성을 동등하게 반영</x:v>
      </x:c>
      <x:c r="H5" s="38"/>
      <x:c r="I5" s="32" t="str">
        <x:v>기준</x:v>
      </x:c>
      <x:c r="J5" s="32" t="str">
        <x:v>고령인구 비율</x:v>
      </x:c>
      <x:c r="K5" s="32" t="str">
        <x:v>독거노인 비율</x:v>
      </x:c>
      <x:c r="L5" s="32" t="str">
        <x:v>심한 장애인 비율</x:v>
      </x:c>
      <x:c r="M5" s="32" t="str">
        <x:v>고령인구 규모</x:v>
      </x:c>
      <x:c r="N5" s="38"/>
      <x:c r="O5" s="32" t="str">
        <x:v>기준</x:v>
      </x:c>
      <x:c r="P5" s="32" t="str">
        <x:v>고령인구 비율</x:v>
      </x:c>
      <x:c r="Q5" s="32" t="str">
        <x:v>독거노인 비율</x:v>
      </x:c>
      <x:c r="R5" s="32" t="str">
        <x:v>심한 장애인 비율</x:v>
      </x:c>
      <x:c r="S5" s="32" t="str">
        <x:v>고령인구 규모</x:v>
      </x:c>
      <x:c r="T5" s="38"/>
      <x:c r="U5" s="32" t="str">
        <x:v>기준</x:v>
      </x:c>
      <x:c r="V5" s="32" t="str">
        <x:v>고령인구 비율</x:v>
      </x:c>
      <x:c r="W5" s="32" t="str">
        <x:v>독거노인 비율</x:v>
      </x:c>
      <x:c r="X5" s="32" t="str">
        <x:v>심한 장애인 비율</x:v>
      </x:c>
      <x:c r="Y5" s="32" t="str">
        <x:v>고령인구 규모</x:v>
      </x:c>
      <x:c r="Z5" s="38"/>
      <x:c r="AA5" s="38" t="str">
        <x:v>고령인구 비율</x:v>
      </x:c>
      <x:c r="AB5" s="62" t="n">
        <x:f>POWER(PRODUCT(J6:M6),1/4)</x:f>
        <x:v>1.189207115002721</x:v>
      </x:c>
      <x:c r="AC5" s="62" t="n">
        <x:f>POWER(PRODUCT(P6:S6),1/4)</x:f>
        <x:v>1.5650845800732873</x:v>
      </x:c>
      <x:c r="AD5" s="62" t="n">
        <x:f>POWER(PRODUCT(V6:Y6),1/4)</x:f>
        <x:v>1.8612097182041991</x:v>
      </x:c>
      <x:c r="AE5" s="62" t="n">
        <x:f>AB5/$AD$9</x:f>
        <x:v>0.2069770027994819</x:v>
      </x:c>
      <x:c r="AF5" s="62" t="n">
        <x:f>AC5/$AC$9</x:f>
        <x:v>0.3511869046381858</x:v>
      </x:c>
      <x:c r="AG5" s="62" t="n">
        <x:f>AD5/$AB$9</x:f>
        <x:v>0.5579697127504708</x:v>
      </x:c>
      <x:c r="AH5" s="62" t="n">
        <x:f>(AE5+AF5+AG5)/3</x:f>
        <x:v>0.3720445400627128</x:v>
      </x:c>
      <x:c r="AI5" s="63" t="n">
        <x:f>AH5/SUM($AH$5:$AH$8)</x:f>
        <x:v>0.33791213197922215</x:v>
      </x:c>
    </x:row>
    <x:row r="6">
      <x:c r="A6" s="38" t="str">
        <x:v>고령인구 비율</x:v>
      </x:c>
      <x:c r="B6" s="38" t="str">
        <x:v>심한 장애인 비율</x:v>
      </x:c>
      <x:c r="C6" s="61" t="str">
        <x:v>약간 더 중요</x:v>
      </x:c>
      <x:c r="D6" s="61" t="n">
        <x:v>1</x:v>
      </x:c>
      <x:c r="E6" s="61" t="n">
        <x:v>2</x:v>
      </x:c>
      <x:c r="F6" s="61" t="n">
        <x:v>3</x:v>
      </x:c>
      <x:c r="G6" s="38" t="str">
        <x:v>프로젝트 중심대상이 고령층이라는 점 반영</x:v>
      </x:c>
      <x:c r="H6" s="38"/>
      <x:c r="I6" s="32" t="str">
        <x:v>고령인구 비율</x:v>
      </x:c>
      <x:c r="J6" s="62" t="n">
        <x:v>1</x:v>
      </x:c>
      <x:c r="K6" s="62" t="n">
        <x:f>D5</x:f>
        <x:v>1</x:v>
      </x:c>
      <x:c r="L6" s="62" t="n">
        <x:f>D6</x:f>
        <x:v>1</x:v>
      </x:c>
      <x:c r="M6" s="62" t="n">
        <x:f>D7</x:f>
        <x:v>2</x:v>
      </x:c>
      <x:c r="N6" s="38"/>
      <x:c r="O6" s="32" t="str">
        <x:v>고령인구 비율</x:v>
      </x:c>
      <x:c r="P6" s="62" t="n">
        <x:v>1</x:v>
      </x:c>
      <x:c r="Q6" s="62" t="n">
        <x:f>E5</x:f>
        <x:v>1</x:v>
      </x:c>
      <x:c r="R6" s="62" t="n">
        <x:f>E6</x:f>
        <x:v>2</x:v>
      </x:c>
      <x:c r="S6" s="62" t="n">
        <x:f>E7</x:f>
        <x:v>3</x:v>
      </x:c>
      <x:c r="T6" s="38"/>
      <x:c r="U6" s="32" t="str">
        <x:v>고령인구 비율</x:v>
      </x:c>
      <x:c r="V6" s="62" t="n">
        <x:v>1</x:v>
      </x:c>
      <x:c r="W6" s="62" t="n">
        <x:f>F5</x:f>
        <x:v>1</x:v>
      </x:c>
      <x:c r="X6" s="62" t="n">
        <x:f>F6</x:f>
        <x:v>3</x:v>
      </x:c>
      <x:c r="Y6" s="62" t="n">
        <x:f>F7</x:f>
        <x:v>4</x:v>
      </x:c>
      <x:c r="Z6" s="38"/>
      <x:c r="AA6" s="38" t="str">
        <x:v>독거노인 비율</x:v>
      </x:c>
      <x:c r="AB6" s="62" t="n">
        <x:f>POWER(PRODUCT(J7:M7),1/4)</x:f>
        <x:v>1.189207115002721</x:v>
      </x:c>
      <x:c r="AC6" s="62" t="n">
        <x:f>POWER(PRODUCT(P7:S7),1/4)</x:f>
        <x:v>1.5650845800732873</x:v>
      </x:c>
      <x:c r="AD6" s="62" t="n">
        <x:f>POWER(PRODUCT(V7:Y7),1/4)</x:f>
        <x:v>1.8612097182041991</x:v>
      </x:c>
      <x:c r="AE6" s="62" t="n">
        <x:f>AB6/$AD$9</x:f>
        <x:v>0.2069770027994819</x:v>
      </x:c>
      <x:c r="AF6" s="62" t="n">
        <x:f>AC6/$AC$9</x:f>
        <x:v>0.3511869046381858</x:v>
      </x:c>
      <x:c r="AG6" s="62" t="n">
        <x:f>AD6/$AB$9</x:f>
        <x:v>0.5579697127504708</x:v>
      </x:c>
      <x:c r="AH6" s="62" t="n">
        <x:f>(AE6+AF6+AG6)/3</x:f>
        <x:v>0.3720445400627128</x:v>
      </x:c>
      <x:c r="AI6" s="63" t="n">
        <x:f>AH6/SUM($AH$5:$AH$8)</x:f>
        <x:v>0.33791213197922215</x:v>
      </x:c>
    </x:row>
    <x:row r="7">
      <x:c r="A7" s="38" t="str">
        <x:v>고령인구 비율</x:v>
      </x:c>
      <x:c r="B7" s="38" t="str">
        <x:v>고령인구 규모</x:v>
      </x:c>
      <x:c r="C7" s="61" t="str">
        <x:v>보통 이상 중요</x:v>
      </x:c>
      <x:c r="D7" s="61" t="n">
        <x:v>2</x:v>
      </x:c>
      <x:c r="E7" s="61" t="n">
        <x:v>3</x:v>
      </x:c>
      <x:c r="F7" s="61" t="n">
        <x:v>4</x:v>
      </x:c>
      <x:c r="G7" s="38" t="str">
        <x:v>규모보다 지역 내 구조적 고령화 비중을 우선</x:v>
      </x:c>
      <x:c r="H7" s="38"/>
      <x:c r="I7" s="32" t="str">
        <x:v>독거노인 비율</x:v>
      </x:c>
      <x:c r="J7" s="62" t="n">
        <x:f>1/F5</x:f>
        <x:v>1</x:v>
      </x:c>
      <x:c r="K7" s="62" t="n">
        <x:v>1</x:v>
      </x:c>
      <x:c r="L7" s="62" t="n">
        <x:f>D8</x:f>
        <x:v>1</x:v>
      </x:c>
      <x:c r="M7" s="62" t="n">
        <x:f>D9</x:f>
        <x:v>2</x:v>
      </x:c>
      <x:c r="N7" s="38"/>
      <x:c r="O7" s="32" t="str">
        <x:v>독거노인 비율</x:v>
      </x:c>
      <x:c r="P7" s="62" t="n">
        <x:f>1/E5</x:f>
        <x:v>1</x:v>
      </x:c>
      <x:c r="Q7" s="62" t="n">
        <x:v>1</x:v>
      </x:c>
      <x:c r="R7" s="62" t="n">
        <x:f>E8</x:f>
        <x:v>2</x:v>
      </x:c>
      <x:c r="S7" s="62" t="n">
        <x:f>E9</x:f>
        <x:v>3</x:v>
      </x:c>
      <x:c r="T7" s="38"/>
      <x:c r="U7" s="32" t="str">
        <x:v>독거노인 비율</x:v>
      </x:c>
      <x:c r="V7" s="62" t="n">
        <x:f>1/D5</x:f>
        <x:v>1</x:v>
      </x:c>
      <x:c r="W7" s="62" t="n">
        <x:v>1</x:v>
      </x:c>
      <x:c r="X7" s="62" t="n">
        <x:f>F8</x:f>
        <x:v>3</x:v>
      </x:c>
      <x:c r="Y7" s="62" t="n">
        <x:f>F9</x:f>
        <x:v>4</x:v>
      </x:c>
      <x:c r="Z7" s="38"/>
      <x:c r="AA7" s="38" t="str">
        <x:v>심한 장애인 비율</x:v>
      </x:c>
      <x:c r="AB7" s="62" t="n">
        <x:f>POWER(PRODUCT(J8:M8),1/4)</x:f>
        <x:v>0.5773502691896257</x:v>
      </x:c>
      <x:c r="AC7" s="62" t="n">
        <x:f>POWER(PRODUCT(P8:S8),1/4)</x:f>
        <x:v>0.8408964152537145</x:v>
      </x:c>
      <x:c r="AD7" s="62" t="n">
        <x:f>POWER(PRODUCT(V8:Y8),1/4)</x:f>
        <x:v>1.3160740129524924</x:v>
      </x:c>
      <x:c r="AE7" s="62" t="n">
        <x:f>AB7/$AD$9</x:f>
        <x:v>0.10048563179179211</x:v>
      </x:c>
      <x:c r="AF7" s="62" t="n">
        <x:f>AC7/$AC$9</x:f>
        <x:v>0.18868744408718802</x:v>
      </x:c>
      <x:c r="AG7" s="62" t="n">
        <x:f>AD7/$AB$9</x:f>
        <x:v>0.39454416758256794</x:v>
      </x:c>
      <x:c r="AH7" s="62" t="n">
        <x:f>(AE7+AF7+AG7)/3</x:f>
        <x:v>0.227905747820516</x:v>
      </x:c>
      <x:c r="AI7" s="63" t="n">
        <x:f>AH7/SUM($AH$5:$AH$8)</x:f>
        <x:v>0.20699703622412566</x:v>
      </x:c>
    </x:row>
    <x:row r="8">
      <x:c r="A8" s="38" t="str">
        <x:v>독거노인 비율</x:v>
      </x:c>
      <x:c r="B8" s="38" t="str">
        <x:v>심한 장애인 비율</x:v>
      </x:c>
      <x:c r="C8" s="61" t="str">
        <x:v>약간 더 중요</x:v>
      </x:c>
      <x:c r="D8" s="61" t="n">
        <x:v>1</x:v>
      </x:c>
      <x:c r="E8" s="61" t="n">
        <x:v>2</x:v>
      </x:c>
      <x:c r="F8" s="61" t="n">
        <x:v>3</x:v>
      </x:c>
      <x:c r="G8" s="38" t="str">
        <x:v>응급상황·건강관리 공백 위험을 직접 반영</x:v>
      </x:c>
      <x:c r="H8" s="38"/>
      <x:c r="I8" s="32" t="str">
        <x:v>심한 장애인 비율</x:v>
      </x:c>
      <x:c r="J8" s="62" t="n">
        <x:f>1/F6</x:f>
        <x:v>0.3333333333333333</x:v>
      </x:c>
      <x:c r="K8" s="62" t="n">
        <x:f>1/F8</x:f>
        <x:v>0.3333333333333333</x:v>
      </x:c>
      <x:c r="L8" s="62" t="n">
        <x:v>1</x:v>
      </x:c>
      <x:c r="M8" s="62" t="n">
        <x:f>D10</x:f>
        <x:v>1</x:v>
      </x:c>
      <x:c r="N8" s="38"/>
      <x:c r="O8" s="32" t="str">
        <x:v>심한 장애인 비율</x:v>
      </x:c>
      <x:c r="P8" s="62" t="n">
        <x:f>1/E6</x:f>
        <x:v>0.5</x:v>
      </x:c>
      <x:c r="Q8" s="62" t="n">
        <x:f>1/E8</x:f>
        <x:v>0.5</x:v>
      </x:c>
      <x:c r="R8" s="62" t="n">
        <x:v>1</x:v>
      </x:c>
      <x:c r="S8" s="62" t="n">
        <x:f>E10</x:f>
        <x:v>2</x:v>
      </x:c>
      <x:c r="T8" s="38"/>
      <x:c r="U8" s="32" t="str">
        <x:v>심한 장애인 비율</x:v>
      </x:c>
      <x:c r="V8" s="62" t="n">
        <x:f>1/D6</x:f>
        <x:v>1</x:v>
      </x:c>
      <x:c r="W8" s="62" t="n">
        <x:f>1/D8</x:f>
        <x:v>1</x:v>
      </x:c>
      <x:c r="X8" s="62" t="n">
        <x:v>1</x:v>
      </x:c>
      <x:c r="Y8" s="62" t="n">
        <x:f>F10</x:f>
        <x:v>3</x:v>
      </x:c>
      <x:c r="Z8" s="38"/>
      <x:c r="AA8" s="38" t="str">
        <x:v>고령인구 규모</x:v>
      </x:c>
      <x:c r="AB8" s="62" t="n">
        <x:f>POWER(PRODUCT(J9:M9),1/4)</x:f>
        <x:v>0.37991784282579627</x:v>
      </x:c>
      <x:c r="AC8" s="62" t="n">
        <x:f>POWER(PRODUCT(P9:S9),1/4)</x:f>
        <x:v>0.48549177170732344</x:v>
      </x:c>
      <x:c r="AD8" s="62" t="n">
        <x:f>POWER(PRODUCT(V9:Y9),1/4)</x:f>
        <x:v>0.7071067811865476</x:v>
      </x:c>
      <x:c r="AE8" s="62" t="n">
        <x:f>AB8/$AD$9</x:f>
        <x:v>0.0661232643381452</x:v>
      </x:c>
      <x:c r="AF8" s="62" t="n">
        <x:f>AC8/$AC$9</x:f>
        <x:v>0.10893874663644047</x:v>
      </x:c>
      <x:c r="AG8" s="62" t="n">
        <x:f>AD8/$AB$9</x:f>
        <x:v>0.2119826496302881</x:v>
      </x:c>
      <x:c r="AH8" s="62" t="n">
        <x:f>(AE8+AF8+AG8)/3</x:f>
        <x:v>0.12901488686829124</x:v>
      </x:c>
      <x:c r="AI8" s="63" t="n">
        <x:f>AH8/SUM($AH$5:$AH$8)</x:f>
        <x:v>0.11717869981743004</x:v>
      </x:c>
    </x:row>
    <x:row r="9">
      <x:c r="A9" s="38" t="str">
        <x:v>독거노인 비율</x:v>
      </x:c>
      <x:c r="B9" s="38" t="str">
        <x:v>고령인구 규모</x:v>
      </x:c>
      <x:c r="C9" s="61" t="str">
        <x:v>보통 이상 중요</x:v>
      </x:c>
      <x:c r="D9" s="61" t="n">
        <x:v>2</x:v>
      </x:c>
      <x:c r="E9" s="61" t="n">
        <x:v>3</x:v>
      </x:c>
      <x:c r="F9" s="61" t="n">
        <x:v>4</x:v>
      </x:c>
      <x:c r="G9" s="38" t="str">
        <x:v>지원 필요성의 강도를 단순 인원수보다 우선</x:v>
      </x:c>
      <x:c r="H9" s="38"/>
      <x:c r="I9" s="32" t="str">
        <x:v>고령인구 규모</x:v>
      </x:c>
      <x:c r="J9" s="62" t="n">
        <x:f>1/F7</x:f>
        <x:v>0.25</x:v>
      </x:c>
      <x:c r="K9" s="62" t="n">
        <x:f>1/F9</x:f>
        <x:v>0.25</x:v>
      </x:c>
      <x:c r="L9" s="62" t="n">
        <x:f>1/F10</x:f>
        <x:v>0.3333333333333333</x:v>
      </x:c>
      <x:c r="M9" s="62" t="n">
        <x:v>1</x:v>
      </x:c>
      <x:c r="N9" s="38"/>
      <x:c r="O9" s="32" t="str">
        <x:v>고령인구 규모</x:v>
      </x:c>
      <x:c r="P9" s="62" t="n">
        <x:f>1/E7</x:f>
        <x:v>0.3333333333333333</x:v>
      </x:c>
      <x:c r="Q9" s="62" t="n">
        <x:f>1/E9</x:f>
        <x:v>0.3333333333333333</x:v>
      </x:c>
      <x:c r="R9" s="62" t="n">
        <x:f>1/E10</x:f>
        <x:v>0.5</x:v>
      </x:c>
      <x:c r="S9" s="62" t="n">
        <x:v>1</x:v>
      </x:c>
      <x:c r="T9" s="38"/>
      <x:c r="U9" s="32" t="str">
        <x:v>고령인구 규모</x:v>
      </x:c>
      <x:c r="V9" s="62" t="n">
        <x:f>1/D7</x:f>
        <x:v>0.5</x:v>
      </x:c>
      <x:c r="W9" s="62" t="n">
        <x:f>1/D9</x:f>
        <x:v>0.5</x:v>
      </x:c>
      <x:c r="X9" s="62" t="n">
        <x:f>1/D10</x:f>
        <x:v>1</x:v>
      </x:c>
      <x:c r="Y9" s="62" t="n">
        <x:v>1</x:v>
      </x:c>
      <x:c r="Z9" s="38"/>
      <x:c r="AA9" s="32" t="str">
        <x:v>합계</x:v>
      </x:c>
      <x:c r="AB9" s="32" t="n">
        <x:f>SUM(AB5:AB8)</x:f>
        <x:v>3.335682342020864</x:v>
      </x:c>
      <x:c r="AC9" s="32" t="n">
        <x:f>SUM(AC5:AC8)</x:f>
        <x:v>4.456557347107612</x:v>
      </x:c>
      <x:c r="AD9" s="32" t="n">
        <x:f>SUM(AD5:AD8)</x:f>
        <x:v>5.7456002305474385</x:v>
      </x:c>
      <x:c r="AE9" s="38"/>
      <x:c r="AF9" s="38"/>
      <x:c r="AG9" s="38"/>
      <x:c r="AH9" s="38"/>
      <x:c r="AI9" s="38"/>
    </x:row>
    <x:row r="10">
      <x:c r="A10" s="38" t="str">
        <x:v>심한 장애인 비율</x:v>
      </x:c>
      <x:c r="B10" s="38" t="str">
        <x:v>고령인구 규모</x:v>
      </x:c>
      <x:c r="C10" s="61" t="str">
        <x:v>약간 더 중요</x:v>
      </x:c>
      <x:c r="D10" s="61" t="n">
        <x:v>1</x:v>
      </x:c>
      <x:c r="E10" s="61" t="n">
        <x:v>2</x:v>
      </x:c>
      <x:c r="F10" s="61" t="n">
        <x:v>3</x:v>
      </x:c>
      <x:c r="G10" s="38" t="str">
        <x:v>이동 및 의료이용 제약을 규모 보정값보다 우선</x:v>
      </x:c>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row>
    <x:row r="15">
      <x:c r="A15" s="22" t="str">
        <x:v>일관성 검증</x:v>
      </x:c>
      <x:c r="B15" s="22" t="str">
        <x:v>λmax</x:v>
      </x:c>
      <x:c r="C15" s="22" t="str">
        <x:v>CI</x:v>
      </x:c>
      <x:c r="D15" s="22" t="str">
        <x:v>CR</x:v>
      </x:c>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row>
    <x:row r="16">
      <x:c r="A16" s="38" t="str">
        <x:v>중심값 행렬 기준</x:v>
      </x:c>
      <x:c r="B16" s="62" t="n">
        <x:v>4.0103629022408995</x:v>
      </x:c>
      <x:c r="C16" s="62" t="n">
        <x:v>0.00345430074696651</x:v>
      </x:c>
      <x:c r="D16" s="62" t="n">
        <x:v>0.0038381119410738998</x:v>
      </x:c>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row>
    <x:row r="18">
      <x:c r="A18" s="45" t="str">
        <x:v>일관성 판단: 수용 가능(CR &lt; 0.10). 현재 예시 판단의 CR은 0.0038입니다. 실제 전문가 응답으로 변경한 뒤에도 CR을 다시 확인해야 합니다.</x:v>
      </x:c>
      <x:c r="B18" s="45"/>
      <x:c r="C18" s="45"/>
      <x:c r="D18" s="45"/>
      <x:c r="E18" s="45"/>
      <x:c r="F18" s="45"/>
      <x:c r="G18" s="45"/>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row>
    <x:row r="19">
      <x:c r="A19" s="45"/>
      <x:c r="B19" s="45"/>
      <x:c r="C19" s="45"/>
      <x:c r="D19" s="45"/>
      <x:c r="E19" s="45"/>
      <x:c r="F19" s="45"/>
      <x:c r="G19" s="45"/>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row>
    <x:row r="20">
      <x:c r="A20" s="45"/>
      <x:c r="B20" s="45"/>
      <x:c r="C20" s="45"/>
      <x:c r="D20" s="45"/>
      <x:c r="E20" s="45"/>
      <x:c r="F20" s="45"/>
      <x:c r="G20" s="45"/>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row>
  </x:sheetData>
  <x:mergeCells>
    <x:mergeCell ref="A1:AD2"/>
    <x:mergeCell ref="I4:M4"/>
    <x:mergeCell ref="O4:S4"/>
    <x:mergeCell ref="U4:Y4"/>
    <x:mergeCell ref="A18:G20"/>
  </x:mergeCells>
  <x:conditionalFormatting sqref="AI5:AI8">
    <x:cfRule type="dataBar" priority="1">
      <x:dataBar>
        <x:cfvo type="min"/>
        <x:cfvo type="max"/>
        <x:color rgb="FF4472C4"/>
      </x:dataBar>
      <x:extLst>
        <x:ext xmlns:x14="http://schemas.microsoft.com/office/spreadsheetml/2009/9/main" uri="{B025F937-C7B1-47D3-B67F-A62EFF666E3E}">
          <x14:id>{DAA63A78-2323-0F63-B570-FEE2D5FD665F}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A63A78-2323-0F63-B570-FEE2D5FD665F}">
            <x14:dataBar gradient="1">
              <x14:cfvo type="min"/>
              <x14:cfvo type="max"/>
              <x14:fillColor rgb="FF4472C4"/>
            </x14:dataBar>
          </x14:cfRule>
          <xm:sqref>AI5:AI8</xm:sqref>
        </x14:conditionalFormatting>
      </x14:conditionalFormattings>
    </x:ext>
  </x:extLst>
</x:worksheet>
</file>

<file path=xl/worksheets/sheet5.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4"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x:c r="A1" s="60" t="str">
        <x:v>퍼지 AHP 계산 — 의료취약성 하위지표</x:v>
      </x:c>
      <x:c r="B1" s="60"/>
      <x:c r="C1" s="60"/>
      <x:c r="D1" s="60"/>
      <x:c r="E1" s="60"/>
      <x:c r="F1" s="60"/>
      <x:c r="G1" s="60"/>
      <x:c r="H1" s="60"/>
      <x:c r="I1" s="60"/>
      <x:c r="J1" s="60"/>
      <x:c r="K1" s="60"/>
      <x:c r="L1" s="60"/>
      <x:c r="M1" s="60"/>
      <x:c r="N1" s="60"/>
      <x:c r="O1" s="60"/>
      <x:c r="P1" s="60"/>
      <x:c r="Q1" s="60"/>
      <x:c r="R1" s="60"/>
      <x:c r="S1" s="60"/>
      <x:c r="T1" s="60"/>
      <x:c r="U1" s="60"/>
      <x:c r="V1" s="60"/>
      <x:c r="W1" s="60"/>
      <x:c r="X1" s="60"/>
      <x:c r="Y1" s="60"/>
      <x:c r="Z1" s="60"/>
      <x:c r="AA1" s="60"/>
      <x:c r="AB1" s="60"/>
      <x:c r="AC1" s="60"/>
      <x:c r="AD1" s="60"/>
      <x:c r="AE1" s="38"/>
      <x:c r="AF1" s="38"/>
      <x:c r="AG1" s="38"/>
      <x:c r="AH1" s="38"/>
      <x:c r="AI1" s="38"/>
    </x:row>
    <x:row r="2">
      <x:c r="A2" s="60"/>
      <x:c r="B2" s="60"/>
      <x:c r="C2" s="60"/>
      <x:c r="D2" s="60"/>
      <x:c r="E2" s="60"/>
      <x:c r="F2" s="60"/>
      <x:c r="G2" s="60"/>
      <x:c r="H2" s="60"/>
      <x:c r="I2" s="60"/>
      <x:c r="J2" s="60"/>
      <x:c r="K2" s="60"/>
      <x:c r="L2" s="60"/>
      <x:c r="M2" s="60"/>
      <x:c r="N2" s="60"/>
      <x:c r="O2" s="60"/>
      <x:c r="P2" s="60"/>
      <x:c r="Q2" s="60"/>
      <x:c r="R2" s="60"/>
      <x:c r="S2" s="60"/>
      <x:c r="T2" s="60"/>
      <x:c r="U2" s="60"/>
      <x:c r="V2" s="60"/>
      <x:c r="W2" s="60"/>
      <x:c r="X2" s="60"/>
      <x:c r="Y2" s="60"/>
      <x:c r="Z2" s="60"/>
      <x:c r="AA2" s="60"/>
      <x:c r="AB2" s="60"/>
      <x:c r="AC2" s="60"/>
      <x:c r="AD2" s="60"/>
      <x:c r="AE2" s="38"/>
      <x:c r="AF2" s="38"/>
      <x:c r="AG2" s="38"/>
      <x:c r="AH2" s="38"/>
      <x:c r="AI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row>
    <x:row r="4">
      <x:c r="A4" s="22" t="str">
        <x:v>비교대상 A</x:v>
      </x:c>
      <x:c r="B4" s="22" t="str">
        <x:v>비교대상 B</x:v>
      </x:c>
      <x:c r="C4" s="22" t="str">
        <x:v>언어판단</x:v>
      </x:c>
      <x:c r="D4" s="22" t="str">
        <x:v>하한 l</x:v>
      </x:c>
      <x:c r="E4" s="22" t="str">
        <x:v>중심 m</x:v>
      </x:c>
      <x:c r="F4" s="22" t="str">
        <x:v>상한 u</x:v>
      </x:c>
      <x:c r="G4" s="22" t="str">
        <x:v>판단 근거</x:v>
      </x:c>
      <x:c r="H4" s="38"/>
      <x:c r="I4" s="22" t="str">
        <x:v>하한행렬 L</x:v>
      </x:c>
      <x:c r="J4" s="22"/>
      <x:c r="K4" s="22"/>
      <x:c r="L4" s="38"/>
      <x:c r="M4" s="38"/>
      <x:c r="N4" s="38"/>
      <x:c r="O4" s="22" t="str">
        <x:v>중심행렬 M</x:v>
      </x:c>
      <x:c r="P4" s="22"/>
      <x:c r="Q4" s="22"/>
      <x:c r="R4" s="38"/>
      <x:c r="S4" s="38"/>
      <x:c r="T4" s="38"/>
      <x:c r="U4" s="22" t="str">
        <x:v>상한행렬 U</x:v>
      </x:c>
      <x:c r="V4" s="22"/>
      <x:c r="W4" s="22"/>
      <x:c r="X4" s="38"/>
      <x:c r="Y4" s="38"/>
      <x:c r="Z4" s="38"/>
      <x:c r="AA4" s="22" t="str">
        <x:v>기준</x:v>
      </x:c>
      <x:c r="AB4" s="22" t="str">
        <x:v>GM-l</x:v>
      </x:c>
      <x:c r="AC4" s="22" t="str">
        <x:v>GM-m</x:v>
      </x:c>
      <x:c r="AD4" s="22" t="str">
        <x:v>GM-u</x:v>
      </x:c>
      <x:c r="AE4" s="22" t="str">
        <x:v>W-l</x:v>
      </x:c>
      <x:c r="AF4" s="22" t="str">
        <x:v>W-m</x:v>
      </x:c>
      <x:c r="AG4" s="22" t="str">
        <x:v>W-u</x:v>
      </x:c>
      <x:c r="AH4" s="22" t="str">
        <x:v>비퍼지화</x:v>
      </x:c>
      <x:c r="AI4" s="22" t="str">
        <x:v>정규화 가중치</x:v>
      </x:c>
    </x:row>
    <x:row r="5">
      <x:c r="A5" s="38" t="str">
        <x:v>고령인구 대비 의료기관 부족</x:v>
      </x:c>
      <x:c r="B5" s="38" t="str">
        <x:v>공공 보건기관 부족</x:v>
      </x:c>
      <x:c r="C5" s="61" t="str">
        <x:v>보통 이상 중요</x:v>
      </x:c>
      <x:c r="D5" s="61" t="n">
        <x:v>2</x:v>
      </x:c>
      <x:c r="E5" s="61" t="n">
        <x:v>3</x:v>
      </x:c>
      <x:c r="F5" s="61" t="n">
        <x:v>4</x:v>
      </x:c>
      <x:c r="G5" s="38" t="str">
        <x:v>전체 의료공급 수준을 가장 직접적으로 반영</x:v>
      </x:c>
      <x:c r="H5" s="38"/>
      <x:c r="I5" s="32" t="str">
        <x:v>기준</x:v>
      </x:c>
      <x:c r="J5" s="32" t="str">
        <x:v>고령인구 대비 의료기관 부족</x:v>
      </x:c>
      <x:c r="K5" s="32" t="str">
        <x:v>공공 보건기관 부족</x:v>
      </x:c>
      <x:c r="L5" s="38"/>
      <x:c r="M5" s="38"/>
      <x:c r="N5" s="38"/>
      <x:c r="O5" s="32" t="str">
        <x:v>기준</x:v>
      </x:c>
      <x:c r="P5" s="32" t="str">
        <x:v>고령인구 대비 의료기관 부족</x:v>
      </x:c>
      <x:c r="Q5" s="32" t="str">
        <x:v>공공 보건기관 부족</x:v>
      </x:c>
      <x:c r="R5" s="38"/>
      <x:c r="S5" s="38"/>
      <x:c r="T5" s="38"/>
      <x:c r="U5" s="32" t="str">
        <x:v>기준</x:v>
      </x:c>
      <x:c r="V5" s="32" t="str">
        <x:v>고령인구 대비 의료기관 부족</x:v>
      </x:c>
      <x:c r="W5" s="32" t="str">
        <x:v>공공 보건기관 부족</x:v>
      </x:c>
      <x:c r="X5" s="38"/>
      <x:c r="Y5" s="38"/>
      <x:c r="Z5" s="38"/>
      <x:c r="AA5" s="38" t="str">
        <x:v>고령인구 대비 의료기관 부족</x:v>
      </x:c>
      <x:c r="AB5" s="62" t="n">
        <x:f>POWER(PRODUCT(J6:K6),1/2)</x:f>
        <x:v>1.4142135623730951</x:v>
      </x:c>
      <x:c r="AC5" s="62" t="n">
        <x:f>POWER(PRODUCT(P6:Q6),1/2)</x:f>
        <x:v>1.7320508075688772</x:v>
      </x:c>
      <x:c r="AD5" s="62" t="n">
        <x:f>POWER(PRODUCT(V6:W6),1/2)</x:f>
        <x:v>2</x:v>
      </x:c>
      <x:c r="AE5" s="62" t="n">
        <x:f>AB5/$AD$7</x:f>
        <x:v>0.522407749927483</x:v>
      </x:c>
      <x:c r="AF5" s="62" t="n">
        <x:f>AC5/$AC$7</x:f>
        <x:v>0.75</x:v>
      </x:c>
      <x:c r="AG5" s="62" t="n">
        <x:f>AD5/$AB$7</x:f>
        <x:v>1.0448154998549657</x:v>
      </x:c>
      <x:c r="AH5" s="62" t="n">
        <x:f>(AE5+AF5+AG5)/3</x:f>
        <x:v>0.772407749927483</x:v>
      </x:c>
      <x:c r="AI5" s="63" t="n">
        <x:f>AH5/SUM($AH$5:$AH$6)</x:f>
        <x:v>0.7423855915858419</x:v>
      </x:c>
    </x:row>
    <x:row r="6">
      <x:c r="A6" s="38"/>
      <x:c r="B6" s="38"/>
      <x:c r="C6" s="38"/>
      <x:c r="D6" s="38"/>
      <x:c r="E6" s="38"/>
      <x:c r="F6" s="38"/>
      <x:c r="G6" s="38"/>
      <x:c r="H6" s="38"/>
      <x:c r="I6" s="32" t="str">
        <x:v>고령인구 대비 의료기관 부족</x:v>
      </x:c>
      <x:c r="J6" s="62" t="n">
        <x:v>1</x:v>
      </x:c>
      <x:c r="K6" s="62" t="n">
        <x:f>D5</x:f>
        <x:v>2</x:v>
      </x:c>
      <x:c r="L6" s="38"/>
      <x:c r="M6" s="38"/>
      <x:c r="N6" s="38"/>
      <x:c r="O6" s="32" t="str">
        <x:v>고령인구 대비 의료기관 부족</x:v>
      </x:c>
      <x:c r="P6" s="62" t="n">
        <x:v>1</x:v>
      </x:c>
      <x:c r="Q6" s="62" t="n">
        <x:f>E5</x:f>
        <x:v>3</x:v>
      </x:c>
      <x:c r="R6" s="38"/>
      <x:c r="S6" s="38"/>
      <x:c r="T6" s="38"/>
      <x:c r="U6" s="32" t="str">
        <x:v>고령인구 대비 의료기관 부족</x:v>
      </x:c>
      <x:c r="V6" s="62" t="n">
        <x:v>1</x:v>
      </x:c>
      <x:c r="W6" s="62" t="n">
        <x:f>F5</x:f>
        <x:v>4</x:v>
      </x:c>
      <x:c r="X6" s="38"/>
      <x:c r="Y6" s="38"/>
      <x:c r="Z6" s="38"/>
      <x:c r="AA6" s="38" t="str">
        <x:v>공공 보건기관 부족</x:v>
      </x:c>
      <x:c r="AB6" s="62" t="n">
        <x:f>POWER(PRODUCT(J7:K7),1/2)</x:f>
        <x:v>0.5</x:v>
      </x:c>
      <x:c r="AC6" s="62" t="n">
        <x:f>POWER(PRODUCT(P7:Q7),1/2)</x:f>
        <x:v>0.5773502691896257</x:v>
      </x:c>
      <x:c r="AD6" s="62" t="n">
        <x:f>POWER(PRODUCT(V7:W7),1/2)</x:f>
        <x:v>0.7071067811865476</x:v>
      </x:c>
      <x:c r="AE6" s="62" t="n">
        <x:f>AB6/$AD$7</x:f>
        <x:v>0.18469903125906464</x:v>
      </x:c>
      <x:c r="AF6" s="62" t="n">
        <x:f>AC6/$AC$7</x:f>
        <x:v>0.25</x:v>
      </x:c>
      <x:c r="AG6" s="62" t="n">
        <x:f>AD6/$AB$7</x:f>
        <x:v>0.3693980625181293</x:v>
      </x:c>
      <x:c r="AH6" s="62" t="n">
        <x:f>(AE6+AF6+AG6)/3</x:f>
        <x:v>0.26803236459239793</x:v>
      </x:c>
      <x:c r="AI6" s="63" t="n">
        <x:f>AH6/SUM($AH$5:$AH$6)</x:f>
        <x:v>0.257614408414158</x:v>
      </x:c>
    </x:row>
    <x:row r="7">
      <x:c r="A7" s="38"/>
      <x:c r="B7" s="38"/>
      <x:c r="C7" s="38"/>
      <x:c r="D7" s="38"/>
      <x:c r="E7" s="38"/>
      <x:c r="F7" s="38"/>
      <x:c r="G7" s="38"/>
      <x:c r="H7" s="38"/>
      <x:c r="I7" s="32" t="str">
        <x:v>공공 보건기관 부족</x:v>
      </x:c>
      <x:c r="J7" s="62" t="n">
        <x:f>1/F5</x:f>
        <x:v>0.25</x:v>
      </x:c>
      <x:c r="K7" s="62" t="n">
        <x:v>1</x:v>
      </x:c>
      <x:c r="L7" s="38"/>
      <x:c r="M7" s="38"/>
      <x:c r="N7" s="38"/>
      <x:c r="O7" s="32" t="str">
        <x:v>공공 보건기관 부족</x:v>
      </x:c>
      <x:c r="P7" s="62" t="n">
        <x:f>1/E5</x:f>
        <x:v>0.3333333333333333</x:v>
      </x:c>
      <x:c r="Q7" s="62" t="n">
        <x:v>1</x:v>
      </x:c>
      <x:c r="R7" s="38"/>
      <x:c r="S7" s="38"/>
      <x:c r="T7" s="38"/>
      <x:c r="U7" s="32" t="str">
        <x:v>공공 보건기관 부족</x:v>
      </x:c>
      <x:c r="V7" s="62" t="n">
        <x:f>1/D5</x:f>
        <x:v>0.5</x:v>
      </x:c>
      <x:c r="W7" s="62" t="n">
        <x:v>1</x:v>
      </x:c>
      <x:c r="X7" s="38"/>
      <x:c r="Y7" s="38"/>
      <x:c r="Z7" s="38"/>
      <x:c r="AA7" s="32" t="str">
        <x:v>합계</x:v>
      </x:c>
      <x:c r="AB7" s="32" t="n">
        <x:f>SUM(AB5:AB6)</x:f>
        <x:v>1.9142135623730951</x:v>
      </x:c>
      <x:c r="AC7" s="32" t="n">
        <x:f>SUM(AC5:AC6)</x:f>
        <x:v>2.309401076758503</x:v>
      </x:c>
      <x:c r="AD7" s="32" t="n">
        <x:f>SUM(AD5:AD6)</x:f>
        <x:v>2.7071067811865475</x:v>
      </x:c>
      <x:c r="AE7" s="38"/>
      <x:c r="AF7" s="38"/>
      <x:c r="AG7" s="38"/>
      <x:c r="AH7" s="38"/>
      <x:c r="AI7" s="38"/>
    </x:row>
    <x:row r="8">
      <x:c r="A8" s="38"/>
      <x:c r="B8" s="38"/>
      <x:c r="C8" s="38"/>
      <x:c r="D8" s="38"/>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row>
    <x:row r="9">
      <x:c r="A9" s="38"/>
      <x:c r="B9" s="38"/>
      <x:c r="C9" s="38"/>
      <x:c r="D9" s="38"/>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row>
    <x:row r="10">
      <x:c r="A10" s="38"/>
      <x:c r="B10" s="38"/>
      <x:c r="C10" s="38"/>
      <x:c r="D10" s="38"/>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row>
    <x:row r="15">
      <x:c r="A15" s="22" t="str">
        <x:v>일관성 검증</x:v>
      </x:c>
      <x:c r="B15" s="22" t="str">
        <x:v>λmax</x:v>
      </x:c>
      <x:c r="C15" s="22" t="str">
        <x:v>CI</x:v>
      </x:c>
      <x:c r="D15" s="22" t="str">
        <x:v>CR</x:v>
      </x:c>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row>
    <x:row r="16">
      <x:c r="A16" s="38" t="str">
        <x:v>중심값 행렬 기준</x:v>
      </x:c>
      <x:c r="B16" s="62" t="n">
        <x:v>2</x:v>
      </x:c>
      <x:c r="C16" s="62" t="n">
        <x:v>0</x:v>
      </x:c>
      <x:c r="D16" s="62" t="n">
        <x:v>0</x:v>
      </x:c>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row>
    <x:row r="18">
      <x:c r="A18" s="45" t="str">
        <x:v>일관성 판단: 수용 가능(CR &lt; 0.10). 현재 예시 판단의 CR은 0.0000입니다. 실제 전문가 응답으로 변경한 뒤에도 CR을 다시 확인해야 합니다.</x:v>
      </x:c>
      <x:c r="B18" s="45"/>
      <x:c r="C18" s="45"/>
      <x:c r="D18" s="45"/>
      <x:c r="E18" s="45"/>
      <x:c r="F18" s="45"/>
      <x:c r="G18" s="45"/>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row>
    <x:row r="19">
      <x:c r="A19" s="45"/>
      <x:c r="B19" s="45"/>
      <x:c r="C19" s="45"/>
      <x:c r="D19" s="45"/>
      <x:c r="E19" s="45"/>
      <x:c r="F19" s="45"/>
      <x:c r="G19" s="45"/>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row>
    <x:row r="20">
      <x:c r="A20" s="45"/>
      <x:c r="B20" s="45"/>
      <x:c r="C20" s="45"/>
      <x:c r="D20" s="45"/>
      <x:c r="E20" s="45"/>
      <x:c r="F20" s="45"/>
      <x:c r="G20" s="45"/>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row>
  </x:sheetData>
  <x:mergeCells>
    <x:mergeCell ref="A1:AD2"/>
    <x:mergeCell ref="I4:K4"/>
    <x:mergeCell ref="O4:Q4"/>
    <x:mergeCell ref="U4:W4"/>
    <x:mergeCell ref="A18:G20"/>
  </x:mergeCells>
  <x:conditionalFormatting sqref="AI5:AI6">
    <x:cfRule type="dataBar" priority="1">
      <x:dataBar>
        <x:cfvo type="min"/>
        <x:cfvo type="max"/>
        <x:color rgb="FF4472C4"/>
      </x:dataBar>
      <x:extLst>
        <x:ext xmlns:x14="http://schemas.microsoft.com/office/spreadsheetml/2009/9/main" uri="{B025F937-C7B1-47D3-B67F-A62EFF666E3E}">
          <x14:id>{FF88DF13-7CC5-8106-D672-D1EEF74987B9}</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F88DF13-7CC5-8106-D672-D1EEF74987B9}">
            <x14:dataBar gradient="1">
              <x14:cfvo type="min"/>
              <x14:cfvo type="max"/>
              <x14:fillColor rgb="FF4472C4"/>
            </x14:dataBar>
          </x14:cfRule>
          <xm:sqref>AI5:AI6</xm:sqref>
        </x14:conditionalFormatting>
      </x14:conditionalFormattings>
    </x:ext>
  </x:extLst>
</x:worksheet>
</file>

<file path=xl/worksheets/sheet6.xml><?xml version="1.0" encoding="utf-8"?>
<x:worksheet xmlns:x="http://schemas.openxmlformats.org/spreadsheetml/2006/main">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34"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x:c r="A1" s="60" t="str">
        <x:v>퍼지 AHP 계산 — 교통취약성 하위지표</x:v>
      </x:c>
      <x:c r="B1" s="60"/>
      <x:c r="C1" s="60"/>
      <x:c r="D1" s="60"/>
      <x:c r="E1" s="60"/>
      <x:c r="F1" s="60"/>
      <x:c r="G1" s="60"/>
      <x:c r="H1" s="60"/>
      <x:c r="I1" s="60"/>
      <x:c r="J1" s="60"/>
      <x:c r="K1" s="60"/>
      <x:c r="L1" s="60"/>
      <x:c r="M1" s="60"/>
      <x:c r="N1" s="60"/>
      <x:c r="O1" s="60"/>
      <x:c r="P1" s="60"/>
      <x:c r="Q1" s="60"/>
      <x:c r="R1" s="60"/>
      <x:c r="S1" s="60"/>
      <x:c r="T1" s="60"/>
      <x:c r="U1" s="60"/>
      <x:c r="V1" s="60"/>
      <x:c r="W1" s="60"/>
      <x:c r="X1" s="60"/>
      <x:c r="Y1" s="60"/>
      <x:c r="Z1" s="60"/>
      <x:c r="AA1" s="60"/>
      <x:c r="AB1" s="60"/>
      <x:c r="AC1" s="60"/>
      <x:c r="AD1" s="60"/>
      <x:c r="AE1" s="38"/>
      <x:c r="AF1" s="38"/>
      <x:c r="AG1" s="38"/>
      <x:c r="AH1" s="38"/>
      <x:c r="AI1" s="38"/>
    </x:row>
    <x:row r="2">
      <x:c r="A2" s="60"/>
      <x:c r="B2" s="60"/>
      <x:c r="C2" s="60"/>
      <x:c r="D2" s="60"/>
      <x:c r="E2" s="60"/>
      <x:c r="F2" s="60"/>
      <x:c r="G2" s="60"/>
      <x:c r="H2" s="60"/>
      <x:c r="I2" s="60"/>
      <x:c r="J2" s="60"/>
      <x:c r="K2" s="60"/>
      <x:c r="L2" s="60"/>
      <x:c r="M2" s="60"/>
      <x:c r="N2" s="60"/>
      <x:c r="O2" s="60"/>
      <x:c r="P2" s="60"/>
      <x:c r="Q2" s="60"/>
      <x:c r="R2" s="60"/>
      <x:c r="S2" s="60"/>
      <x:c r="T2" s="60"/>
      <x:c r="U2" s="60"/>
      <x:c r="V2" s="60"/>
      <x:c r="W2" s="60"/>
      <x:c r="X2" s="60"/>
      <x:c r="Y2" s="60"/>
      <x:c r="Z2" s="60"/>
      <x:c r="AA2" s="60"/>
      <x:c r="AB2" s="60"/>
      <x:c r="AC2" s="60"/>
      <x:c r="AD2" s="60"/>
      <x:c r="AE2" s="38"/>
      <x:c r="AF2" s="38"/>
      <x:c r="AG2" s="38"/>
      <x:c r="AH2" s="38"/>
      <x:c r="AI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row>
    <x:row r="4">
      <x:c r="A4" s="22" t="str">
        <x:v>비교대상 A</x:v>
      </x:c>
      <x:c r="B4" s="22" t="str">
        <x:v>비교대상 B</x:v>
      </x:c>
      <x:c r="C4" s="22" t="str">
        <x:v>언어판단</x:v>
      </x:c>
      <x:c r="D4" s="22" t="str">
        <x:v>하한 l</x:v>
      </x:c>
      <x:c r="E4" s="22" t="str">
        <x:v>중심 m</x:v>
      </x:c>
      <x:c r="F4" s="22" t="str">
        <x:v>상한 u</x:v>
      </x:c>
      <x:c r="G4" s="22" t="str">
        <x:v>판단 근거</x:v>
      </x:c>
      <x:c r="H4" s="38"/>
      <x:c r="I4" s="22" t="str">
        <x:v>하한행렬 L</x:v>
      </x:c>
      <x:c r="J4" s="22"/>
      <x:c r="K4" s="22"/>
      <x:c r="L4" s="38"/>
      <x:c r="M4" s="38"/>
      <x:c r="N4" s="38"/>
      <x:c r="O4" s="22" t="str">
        <x:v>중심행렬 M</x:v>
      </x:c>
      <x:c r="P4" s="22"/>
      <x:c r="Q4" s="22"/>
      <x:c r="R4" s="38"/>
      <x:c r="S4" s="38"/>
      <x:c r="T4" s="38"/>
      <x:c r="U4" s="22" t="str">
        <x:v>상한행렬 U</x:v>
      </x:c>
      <x:c r="V4" s="22"/>
      <x:c r="W4" s="22"/>
      <x:c r="X4" s="38"/>
      <x:c r="Y4" s="38"/>
      <x:c r="Z4" s="38"/>
      <x:c r="AA4" s="22" t="str">
        <x:v>기준</x:v>
      </x:c>
      <x:c r="AB4" s="22" t="str">
        <x:v>GM-l</x:v>
      </x:c>
      <x:c r="AC4" s="22" t="str">
        <x:v>GM-m</x:v>
      </x:c>
      <x:c r="AD4" s="22" t="str">
        <x:v>GM-u</x:v>
      </x:c>
      <x:c r="AE4" s="22" t="str">
        <x:v>W-l</x:v>
      </x:c>
      <x:c r="AF4" s="22" t="str">
        <x:v>W-m</x:v>
      </x:c>
      <x:c r="AG4" s="22" t="str">
        <x:v>W-u</x:v>
      </x:c>
      <x:c r="AH4" s="22" t="str">
        <x:v>비퍼지화</x:v>
      </x:c>
      <x:c r="AI4" s="22" t="str">
        <x:v>정규화 가중치</x:v>
      </x:c>
    </x:row>
    <x:row r="5">
      <x:c r="A5" s="38" t="str">
        <x:v>버스 운행공급 부족</x:v>
      </x:c>
      <x:c r="B5" s="38" t="str">
        <x:v>정류장 밀도 부족</x:v>
      </x:c>
      <x:c r="C5" s="61" t="str">
        <x:v>동일하게 중요</x:v>
      </x:c>
      <x:c r="D5" s="61" t="n">
        <x:v>1</x:v>
      </x:c>
      <x:c r="E5" s="61" t="n">
        <x:v>1</x:v>
      </x:c>
      <x:c r="F5" s="61" t="n">
        <x:v>1</x:v>
      </x:c>
      <x:c r="G5" s="38" t="str">
        <x:v>운행 빈도와 공간 접근성 모두 필요하며 우열 근거가 부족</x:v>
      </x:c>
      <x:c r="H5" s="38"/>
      <x:c r="I5" s="32" t="str">
        <x:v>기준</x:v>
      </x:c>
      <x:c r="J5" s="32" t="str">
        <x:v>버스 운행공급 부족</x:v>
      </x:c>
      <x:c r="K5" s="32" t="str">
        <x:v>정류장 밀도 부족</x:v>
      </x:c>
      <x:c r="L5" s="38"/>
      <x:c r="M5" s="38"/>
      <x:c r="N5" s="38"/>
      <x:c r="O5" s="32" t="str">
        <x:v>기준</x:v>
      </x:c>
      <x:c r="P5" s="32" t="str">
        <x:v>버스 운행공급 부족</x:v>
      </x:c>
      <x:c r="Q5" s="32" t="str">
        <x:v>정류장 밀도 부족</x:v>
      </x:c>
      <x:c r="R5" s="38"/>
      <x:c r="S5" s="38"/>
      <x:c r="T5" s="38"/>
      <x:c r="U5" s="32" t="str">
        <x:v>기준</x:v>
      </x:c>
      <x:c r="V5" s="32" t="str">
        <x:v>버스 운행공급 부족</x:v>
      </x:c>
      <x:c r="W5" s="32" t="str">
        <x:v>정류장 밀도 부족</x:v>
      </x:c>
      <x:c r="X5" s="38"/>
      <x:c r="Y5" s="38"/>
      <x:c r="Z5" s="38"/>
      <x:c r="AA5" s="38" t="str">
        <x:v>버스 운행공급 부족</x:v>
      </x:c>
      <x:c r="AB5" s="62" t="n">
        <x:f>POWER(PRODUCT(J6:K6),1/2)</x:f>
        <x:v>1</x:v>
      </x:c>
      <x:c r="AC5" s="62" t="n">
        <x:f>POWER(PRODUCT(P6:Q6),1/2)</x:f>
        <x:v>1</x:v>
      </x:c>
      <x:c r="AD5" s="62" t="n">
        <x:f>POWER(PRODUCT(V6:W6),1/2)</x:f>
        <x:v>1</x:v>
      </x:c>
      <x:c r="AE5" s="62" t="n">
        <x:f>AB5/$AD$7</x:f>
        <x:v>0.5</x:v>
      </x:c>
      <x:c r="AF5" s="62" t="n">
        <x:f>AC5/$AC$7</x:f>
        <x:v>0.5</x:v>
      </x:c>
      <x:c r="AG5" s="62" t="n">
        <x:f>AD5/$AB$7</x:f>
        <x:v>0.5</x:v>
      </x:c>
      <x:c r="AH5" s="62" t="n">
        <x:f>(AE5+AF5+AG5)/3</x:f>
        <x:v>0.5</x:v>
      </x:c>
      <x:c r="AI5" s="63" t="n">
        <x:f>AH5/SUM($AH$5:$AH$6)</x:f>
        <x:v>0.5</x:v>
      </x:c>
    </x:row>
    <x:row r="6">
      <x:c r="A6" s="38"/>
      <x:c r="B6" s="38"/>
      <x:c r="C6" s="38"/>
      <x:c r="D6" s="38"/>
      <x:c r="E6" s="38"/>
      <x:c r="F6" s="38"/>
      <x:c r="G6" s="38"/>
      <x:c r="H6" s="38"/>
      <x:c r="I6" s="32" t="str">
        <x:v>버스 운행공급 부족</x:v>
      </x:c>
      <x:c r="J6" s="62" t="n">
        <x:v>1</x:v>
      </x:c>
      <x:c r="K6" s="62" t="n">
        <x:f>D5</x:f>
        <x:v>1</x:v>
      </x:c>
      <x:c r="L6" s="38"/>
      <x:c r="M6" s="38"/>
      <x:c r="N6" s="38"/>
      <x:c r="O6" s="32" t="str">
        <x:v>버스 운행공급 부족</x:v>
      </x:c>
      <x:c r="P6" s="62" t="n">
        <x:v>1</x:v>
      </x:c>
      <x:c r="Q6" s="62" t="n">
        <x:f>E5</x:f>
        <x:v>1</x:v>
      </x:c>
      <x:c r="R6" s="38"/>
      <x:c r="S6" s="38"/>
      <x:c r="T6" s="38"/>
      <x:c r="U6" s="32" t="str">
        <x:v>버스 운행공급 부족</x:v>
      </x:c>
      <x:c r="V6" s="62" t="n">
        <x:v>1</x:v>
      </x:c>
      <x:c r="W6" s="62" t="n">
        <x:f>F5</x:f>
        <x:v>1</x:v>
      </x:c>
      <x:c r="X6" s="38"/>
      <x:c r="Y6" s="38"/>
      <x:c r="Z6" s="38"/>
      <x:c r="AA6" s="38" t="str">
        <x:v>정류장 밀도 부족</x:v>
      </x:c>
      <x:c r="AB6" s="62" t="n">
        <x:f>POWER(PRODUCT(J7:K7),1/2)</x:f>
        <x:v>1</x:v>
      </x:c>
      <x:c r="AC6" s="62" t="n">
        <x:f>POWER(PRODUCT(P7:Q7),1/2)</x:f>
        <x:v>1</x:v>
      </x:c>
      <x:c r="AD6" s="62" t="n">
        <x:f>POWER(PRODUCT(V7:W7),1/2)</x:f>
        <x:v>1</x:v>
      </x:c>
      <x:c r="AE6" s="62" t="n">
        <x:f>AB6/$AD$7</x:f>
        <x:v>0.5</x:v>
      </x:c>
      <x:c r="AF6" s="62" t="n">
        <x:f>AC6/$AC$7</x:f>
        <x:v>0.5</x:v>
      </x:c>
      <x:c r="AG6" s="62" t="n">
        <x:f>AD6/$AB$7</x:f>
        <x:v>0.5</x:v>
      </x:c>
      <x:c r="AH6" s="62" t="n">
        <x:f>(AE6+AF6+AG6)/3</x:f>
        <x:v>0.5</x:v>
      </x:c>
      <x:c r="AI6" s="63" t="n">
        <x:f>AH6/SUM($AH$5:$AH$6)</x:f>
        <x:v>0.5</x:v>
      </x:c>
    </x:row>
    <x:row r="7">
      <x:c r="A7" s="38"/>
      <x:c r="B7" s="38"/>
      <x:c r="C7" s="38"/>
      <x:c r="D7" s="38"/>
      <x:c r="E7" s="38"/>
      <x:c r="F7" s="38"/>
      <x:c r="G7" s="38"/>
      <x:c r="H7" s="38"/>
      <x:c r="I7" s="32" t="str">
        <x:v>정류장 밀도 부족</x:v>
      </x:c>
      <x:c r="J7" s="62" t="n">
        <x:f>1/F5</x:f>
        <x:v>1</x:v>
      </x:c>
      <x:c r="K7" s="62" t="n">
        <x:v>1</x:v>
      </x:c>
      <x:c r="L7" s="38"/>
      <x:c r="M7" s="38"/>
      <x:c r="N7" s="38"/>
      <x:c r="O7" s="32" t="str">
        <x:v>정류장 밀도 부족</x:v>
      </x:c>
      <x:c r="P7" s="62" t="n">
        <x:f>1/E5</x:f>
        <x:v>1</x:v>
      </x:c>
      <x:c r="Q7" s="62" t="n">
        <x:v>1</x:v>
      </x:c>
      <x:c r="R7" s="38"/>
      <x:c r="S7" s="38"/>
      <x:c r="T7" s="38"/>
      <x:c r="U7" s="32" t="str">
        <x:v>정류장 밀도 부족</x:v>
      </x:c>
      <x:c r="V7" s="62" t="n">
        <x:f>1/D5</x:f>
        <x:v>1</x:v>
      </x:c>
      <x:c r="W7" s="62" t="n">
        <x:v>1</x:v>
      </x:c>
      <x:c r="X7" s="38"/>
      <x:c r="Y7" s="38"/>
      <x:c r="Z7" s="38"/>
      <x:c r="AA7" s="32" t="str">
        <x:v>합계</x:v>
      </x:c>
      <x:c r="AB7" s="32" t="n">
        <x:f>SUM(AB5:AB6)</x:f>
        <x:v>2</x:v>
      </x:c>
      <x:c r="AC7" s="32" t="n">
        <x:f>SUM(AC5:AC6)</x:f>
        <x:v>2</x:v>
      </x:c>
      <x:c r="AD7" s="32" t="n">
        <x:f>SUM(AD5:AD6)</x:f>
        <x:v>2</x:v>
      </x:c>
      <x:c r="AE7" s="38"/>
      <x:c r="AF7" s="38"/>
      <x:c r="AG7" s="38"/>
      <x:c r="AH7" s="38"/>
      <x:c r="AI7" s="38"/>
    </x:row>
    <x:row r="8">
      <x:c r="A8" s="38"/>
      <x:c r="B8" s="38"/>
      <x:c r="C8" s="38"/>
      <x:c r="D8" s="38"/>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row>
    <x:row r="9">
      <x:c r="A9" s="38"/>
      <x:c r="B9" s="38"/>
      <x:c r="C9" s="38"/>
      <x:c r="D9" s="38"/>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row>
    <x:row r="10">
      <x:c r="A10" s="38"/>
      <x:c r="B10" s="38"/>
      <x:c r="C10" s="38"/>
      <x:c r="D10" s="38"/>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row>
    <x:row r="15">
      <x:c r="A15" s="22" t="str">
        <x:v>일관성 검증</x:v>
      </x:c>
      <x:c r="B15" s="22" t="str">
        <x:v>λmax</x:v>
      </x:c>
      <x:c r="C15" s="22" t="str">
        <x:v>CI</x:v>
      </x:c>
      <x:c r="D15" s="22" t="str">
        <x:v>CR</x:v>
      </x:c>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row>
    <x:row r="16">
      <x:c r="A16" s="38" t="str">
        <x:v>중심값 행렬 기준</x:v>
      </x:c>
      <x:c r="B16" s="62" t="n">
        <x:v>2</x:v>
      </x:c>
      <x:c r="C16" s="62" t="n">
        <x:v>0</x:v>
      </x:c>
      <x:c r="D16" s="62" t="n">
        <x:v>0</x:v>
      </x:c>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row>
    <x:row r="18">
      <x:c r="A18" s="45" t="str">
        <x:v>일관성 판단: 수용 가능(CR &lt; 0.10). 현재 예시 판단의 CR은 0.0000입니다. 실제 전문가 응답으로 변경한 뒤에도 CR을 다시 확인해야 합니다.</x:v>
      </x:c>
      <x:c r="B18" s="45"/>
      <x:c r="C18" s="45"/>
      <x:c r="D18" s="45"/>
      <x:c r="E18" s="45"/>
      <x:c r="F18" s="45"/>
      <x:c r="G18" s="45"/>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row>
    <x:row r="19">
      <x:c r="A19" s="45"/>
      <x:c r="B19" s="45"/>
      <x:c r="C19" s="45"/>
      <x:c r="D19" s="45"/>
      <x:c r="E19" s="45"/>
      <x:c r="F19" s="45"/>
      <x:c r="G19" s="45"/>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row>
    <x:row r="20">
      <x:c r="A20" s="45"/>
      <x:c r="B20" s="45"/>
      <x:c r="C20" s="45"/>
      <x:c r="D20" s="45"/>
      <x:c r="E20" s="45"/>
      <x:c r="F20" s="45"/>
      <x:c r="G20" s="45"/>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row>
  </x:sheetData>
  <x:mergeCells>
    <x:mergeCell ref="A1:AD2"/>
    <x:mergeCell ref="I4:K4"/>
    <x:mergeCell ref="O4:Q4"/>
    <x:mergeCell ref="U4:W4"/>
    <x:mergeCell ref="A18:G20"/>
  </x:mergeCells>
  <x:conditionalFormatting sqref="AI5:AI6">
    <x:cfRule type="dataBar" priority="1">
      <x:dataBar>
        <x:cfvo type="min"/>
        <x:cfvo type="max"/>
        <x:color rgb="FF4472C4"/>
      </x:dataBar>
      <x:extLst>
        <x:ext xmlns:x14="http://schemas.microsoft.com/office/spreadsheetml/2009/9/main" uri="{B025F937-C7B1-47D3-B67F-A62EFF666E3E}">
          <x14:id>{F1513126-E235-8C25-1148-3AE978620FA0}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1513126-E235-8C25-1148-3AE978620FA0}">
            <x14:dataBar gradient="1">
              <x14:cfvo type="min"/>
              <x14:cfvo type="max"/>
              <x14:fillColor rgb="FF4472C4"/>
            </x14:dataBar>
          </x14:cfRule>
          <xm:sqref>AI5:AI6</xm:sqref>
        </x14:conditionalFormatting>
      </x14:conditionalFormattings>
    </x:ext>
  </x:extLst>
</x:worksheet>
</file>

<file path=xl/worksheets/sheet7.xml><?xml version="1.0" encoding="utf-8"?>
<x:worksheet xmlns:x="http://schemas.openxmlformats.org/spreadsheetml/2006/main">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9" max="9" width="32" hidden="0" customWidth="1"/>
  </x:cols>
  <x:sheetData>
    <x:row r="1">
      <x:c r="A1" s="60" t="str">
        <x:v>퍼지 AHP 최종 실질 가중치</x:v>
      </x:c>
      <x:c r="B1" s="60"/>
      <x:c r="C1" s="60"/>
      <x:c r="D1" s="60"/>
      <x:c r="E1" s="60"/>
      <x:c r="F1" s="60"/>
      <x:c r="G1" s="60"/>
      <x:c r="H1" s="60"/>
      <x:c r="I1" s="60"/>
      <x:c r="J1" s="60"/>
      <x:c r="K1" s="38"/>
      <x:c r="L1" s="38"/>
      <x:c r="M1" s="38"/>
      <x:c r="N1" s="38"/>
      <x:c r="O1" s="38"/>
      <x:c r="P1" s="38"/>
    </x:row>
    <x:row r="2">
      <x:c r="A2" s="60"/>
      <x:c r="B2" s="60"/>
      <x:c r="C2" s="60"/>
      <x:c r="D2" s="60"/>
      <x:c r="E2" s="60"/>
      <x:c r="F2" s="60"/>
      <x:c r="G2" s="60"/>
      <x:c r="H2" s="60"/>
      <x:c r="I2" s="60"/>
      <x:c r="J2" s="60"/>
      <x:c r="K2" s="38"/>
      <x:c r="L2" s="38"/>
      <x:c r="M2" s="38"/>
      <x:c r="N2" s="38"/>
      <x:c r="O2" s="38"/>
      <x:c r="P2" s="38"/>
    </x:row>
    <x:row r="3">
      <x:c r="A3" s="38"/>
      <x:c r="B3" s="38"/>
      <x:c r="C3" s="38"/>
      <x:c r="D3" s="38"/>
      <x:c r="E3" s="38"/>
      <x:c r="F3" s="38"/>
      <x:c r="G3" s="38"/>
      <x:c r="H3" s="38"/>
      <x:c r="I3" s="38"/>
      <x:c r="J3" s="38"/>
      <x:c r="K3" s="38"/>
      <x:c r="L3" s="38"/>
      <x:c r="M3" s="38"/>
      <x:c r="N3" s="38"/>
      <x:c r="O3" s="38"/>
      <x:c r="P3" s="38"/>
    </x:row>
    <x:row r="4">
      <x:c r="A4" s="13" t="str">
        <x:v>최종 실질 가중치 = 상위 영역 가중치 × 영역 내부 가중치입니다. 아래 값은 현재 프로젝트 논리를 반영한 예시 쌍대비교 결과이며, 전문가 설문 후 교체해야 합니다.</x:v>
      </x:c>
      <x:c r="B4" s="13"/>
      <x:c r="C4" s="13"/>
      <x:c r="D4" s="13"/>
      <x:c r="E4" s="13"/>
      <x:c r="F4" s="13"/>
      <x:c r="G4" s="13"/>
      <x:c r="H4" s="13"/>
      <x:c r="I4" s="13"/>
      <x:c r="J4" s="13"/>
      <x:c r="K4" s="38"/>
      <x:c r="L4" s="38"/>
      <x:c r="M4" s="38"/>
      <x:c r="N4" s="38"/>
      <x:c r="O4" s="38"/>
      <x:c r="P4" s="38"/>
    </x:row>
    <x:row r="5">
      <x:c r="A5" s="13"/>
      <x:c r="B5" s="13"/>
      <x:c r="C5" s="13"/>
      <x:c r="D5" s="13"/>
      <x:c r="E5" s="13"/>
      <x:c r="F5" s="13"/>
      <x:c r="G5" s="13"/>
      <x:c r="H5" s="13"/>
      <x:c r="I5" s="13"/>
      <x:c r="J5" s="13"/>
      <x:c r="K5" s="38"/>
      <x:c r="L5" s="38"/>
      <x:c r="M5" s="38"/>
      <x:c r="N5" s="38"/>
      <x:c r="O5" s="38"/>
      <x:c r="P5" s="38"/>
    </x:row>
    <x:row r="6">
      <x:c r="A6" s="13"/>
      <x:c r="B6" s="13"/>
      <x:c r="C6" s="13"/>
      <x:c r="D6" s="13"/>
      <x:c r="E6" s="13"/>
      <x:c r="F6" s="13"/>
      <x:c r="G6" s="13"/>
      <x:c r="H6" s="13"/>
      <x:c r="I6" s="13"/>
      <x:c r="J6" s="13"/>
      <x:c r="K6" s="38"/>
      <x:c r="L6" s="38"/>
      <x:c r="M6" s="38"/>
      <x:c r="N6" s="38"/>
      <x:c r="O6" s="38"/>
      <x:c r="P6" s="38"/>
    </x:row>
    <x:row r="7">
      <x:c r="A7" s="38"/>
      <x:c r="B7" s="38"/>
      <x:c r="C7" s="38"/>
      <x:c r="D7" s="38"/>
      <x:c r="E7" s="38"/>
      <x:c r="F7" s="38"/>
      <x:c r="G7" s="38"/>
      <x:c r="H7" s="38"/>
      <x:c r="I7" s="38"/>
      <x:c r="J7" s="38"/>
      <x:c r="K7" s="38"/>
      <x:c r="L7" s="38"/>
      <x:c r="M7" s="38"/>
      <x:c r="N7" s="38"/>
      <x:c r="O7" s="38"/>
      <x:c r="P7" s="38"/>
    </x:row>
    <x:row r="8">
      <x:c r="A8" s="22" t="str">
        <x:v>상위 영역</x:v>
      </x:c>
      <x:c r="B8" s="22" t="str">
        <x:v>세부지표</x:v>
      </x:c>
      <x:c r="C8" s="22" t="str">
        <x:v>상위 가중치</x:v>
      </x:c>
      <x:c r="D8" s="22" t="str">
        <x:v>내부 가중치</x:v>
      </x:c>
      <x:c r="E8" s="22" t="str">
        <x:v>퍼지 AHP 실질 가중치</x:v>
      </x:c>
      <x:c r="F8" s="22" t="str">
        <x:v>기존 목적기반 실질 가중치</x:v>
      </x:c>
      <x:c r="G8" s="22" t="str">
        <x:v>차이</x:v>
      </x:c>
      <x:c r="H8" s="38"/>
      <x:c r="I8" s="22" t="str">
        <x:v>항목</x:v>
      </x:c>
      <x:c r="J8" s="22" t="str">
        <x:v>퍼지 AHP</x:v>
      </x:c>
      <x:c r="K8" s="38"/>
      <x:c r="L8" s="38"/>
      <x:c r="M8" s="38"/>
      <x:c r="N8" s="38"/>
      <x:c r="O8" s="38"/>
      <x:c r="P8" s="38"/>
    </x:row>
    <x:row r="9">
      <x:c r="A9" s="38" t="str">
        <x:v>인구취약성</x:v>
      </x:c>
      <x:c r="B9" s="38" t="str">
        <x:v>고령인구 비율</x:v>
      </x:c>
      <x:c r="C9" s="63" t="n">
        <x:v>0.5190381666892337</x:v>
      </x:c>
      <x:c r="D9" s="63" t="n">
        <x:v>0.33791213197922215</x:v>
      </x:c>
      <x:c r="E9" s="63" t="n">
        <x:v>0.17538929348454585</x:v>
      </x:c>
      <x:c r="F9" s="63" t="n">
        <x:v>0.1575</x:v>
      </x:c>
      <x:c r="G9" s="63" t="n">
        <x:v>0.01788929348454585</x:v>
      </x:c>
      <x:c r="H9" s="38"/>
      <x:c r="I9" s="38" t="str">
        <x:v>고령인구 비율</x:v>
      </x:c>
      <x:c r="J9" s="63" t="n">
        <x:v>0.17538929348454585</x:v>
      </x:c>
      <x:c r="K9" s="38"/>
      <x:c r="L9" s="38"/>
      <x:c r="M9" s="38"/>
      <x:c r="N9" s="38"/>
      <x:c r="O9" s="38"/>
      <x:c r="P9" s="38"/>
    </x:row>
    <x:row r="10">
      <x:c r="A10" s="38" t="str">
        <x:v>인구취약성</x:v>
      </x:c>
      <x:c r="B10" s="38" t="str">
        <x:v>독거노인 비율</x:v>
      </x:c>
      <x:c r="C10" s="63" t="n">
        <x:v>0.5190381666892337</x:v>
      </x:c>
      <x:c r="D10" s="63" t="n">
        <x:v>0.33791213197922215</x:v>
      </x:c>
      <x:c r="E10" s="63" t="n">
        <x:v>0.17538929348454585</x:v>
      </x:c>
      <x:c r="F10" s="63" t="n">
        <x:v>0.1575</x:v>
      </x:c>
      <x:c r="G10" s="63" t="n">
        <x:v>0.01788929348454585</x:v>
      </x:c>
      <x:c r="H10" s="38"/>
      <x:c r="I10" s="38" t="str">
        <x:v>독거노인 비율</x:v>
      </x:c>
      <x:c r="J10" s="63" t="n">
        <x:v>0.17538929348454585</x:v>
      </x:c>
      <x:c r="K10" s="38"/>
      <x:c r="L10" s="38"/>
      <x:c r="M10" s="38"/>
      <x:c r="N10" s="38"/>
      <x:c r="O10" s="38"/>
      <x:c r="P10" s="38"/>
    </x:row>
    <x:row r="11">
      <x:c r="A11" s="38" t="str">
        <x:v>인구취약성</x:v>
      </x:c>
      <x:c r="B11" s="38" t="str">
        <x:v>심한 장애인 비율</x:v>
      </x:c>
      <x:c r="C11" s="63" t="n">
        <x:v>0.5190381666892337</x:v>
      </x:c>
      <x:c r="D11" s="63" t="n">
        <x:v>0.20699703622412566</x:v>
      </x:c>
      <x:c r="E11" s="63" t="n">
        <x:v>0.1074393621918751</x:v>
      </x:c>
      <x:c r="F11" s="63" t="n">
        <x:v>0.09</x:v>
      </x:c>
      <x:c r="G11" s="63" t="n">
        <x:v>0.0174393621918751</x:v>
      </x:c>
      <x:c r="H11" s="38"/>
      <x:c r="I11" s="38" t="str">
        <x:v>심한 장애인 비율</x:v>
      </x:c>
      <x:c r="J11" s="63" t="n">
        <x:v>0.1074393621918751</x:v>
      </x:c>
      <x:c r="K11" s="38"/>
      <x:c r="L11" s="38"/>
      <x:c r="M11" s="38"/>
      <x:c r="N11" s="38"/>
      <x:c r="O11" s="38"/>
      <x:c r="P11" s="38"/>
    </x:row>
    <x:row r="12">
      <x:c r="A12" s="38" t="str">
        <x:v>인구취약성</x:v>
      </x:c>
      <x:c r="B12" s="38" t="str">
        <x:v>고령인구 규모</x:v>
      </x:c>
      <x:c r="C12" s="63" t="n">
        <x:v>0.5190381666892337</x:v>
      </x:c>
      <x:c r="D12" s="63" t="n">
        <x:v>0.11717869981743004</x:v>
      </x:c>
      <x:c r="E12" s="63" t="n">
        <x:v>0.06082021752826693</x:v>
      </x:c>
      <x:c r="F12" s="63" t="n">
        <x:v>0.045</x:v>
      </x:c>
      <x:c r="G12" s="63" t="n">
        <x:v>0.015820217528266935</x:v>
      </x:c>
      <x:c r="H12" s="38"/>
      <x:c r="I12" s="38" t="str">
        <x:v>고령인구 규모</x:v>
      </x:c>
      <x:c r="J12" s="63" t="n">
        <x:v>0.06082021752826693</x:v>
      </x:c>
      <x:c r="K12" s="38"/>
      <x:c r="L12" s="38"/>
      <x:c r="M12" s="38"/>
      <x:c r="N12" s="38"/>
      <x:c r="O12" s="38"/>
      <x:c r="P12" s="38"/>
    </x:row>
    <x:row r="13">
      <x:c r="A13" s="38" t="str">
        <x:v>의료취약성</x:v>
      </x:c>
      <x:c r="B13" s="38" t="str">
        <x:v>고령인구 대비 의료기관 부족</x:v>
      </x:c>
      <x:c r="C13" s="63" t="n">
        <x:v>0.30793335369659136</x:v>
      </x:c>
      <x:c r="D13" s="63" t="n">
        <x:v>0.7423855915858419</x:v>
      </x:c>
      <x:c r="E13" s="63" t="n">
        <x:v>0.2286052849530563</x:v>
      </x:c>
      <x:c r="F13" s="63" t="n">
        <x:v>0.2625</x:v>
      </x:c>
      <x:c r="G13" s="63" t="n">
        <x:v>-0.03389471504694372</x:v>
      </x:c>
      <x:c r="H13" s="38"/>
      <x:c r="I13" s="38" t="str">
        <x:v>고령인구 대비 의료기관 부족</x:v>
      </x:c>
      <x:c r="J13" s="63" t="n">
        <x:v>0.2286052849530563</x:v>
      </x:c>
      <x:c r="K13" s="38"/>
      <x:c r="L13" s="38"/>
      <x:c r="M13" s="38"/>
      <x:c r="N13" s="38"/>
      <x:c r="O13" s="38"/>
      <x:c r="P13" s="38"/>
    </x:row>
    <x:row r="14">
      <x:c r="A14" s="38" t="str">
        <x:v>의료취약성</x:v>
      </x:c>
      <x:c r="B14" s="38" t="str">
        <x:v>공공 보건기관 부족</x:v>
      </x:c>
      <x:c r="C14" s="63" t="n">
        <x:v>0.30793335369659136</x:v>
      </x:c>
      <x:c r="D14" s="63" t="n">
        <x:v>0.257614408414158</x:v>
      </x:c>
      <x:c r="E14" s="63" t="n">
        <x:v>0.07932806874353505</x:v>
      </x:c>
      <x:c r="F14" s="63" t="n">
        <x:v>0.0875</x:v>
      </x:c>
      <x:c r="G14" s="63" t="n">
        <x:v>-0.00817193125646494</x:v>
      </x:c>
      <x:c r="H14" s="38"/>
      <x:c r="I14" s="38" t="str">
        <x:v>공공 보건기관 부족</x:v>
      </x:c>
      <x:c r="J14" s="63" t="n">
        <x:v>0.07932806874353505</x:v>
      </x:c>
      <x:c r="K14" s="38"/>
      <x:c r="L14" s="38"/>
      <x:c r="M14" s="38"/>
      <x:c r="N14" s="38"/>
      <x:c r="O14" s="38"/>
      <x:c r="P14" s="38"/>
    </x:row>
    <x:row r="15">
      <x:c r="A15" s="38" t="str">
        <x:v>교통취약성</x:v>
      </x:c>
      <x:c r="B15" s="38" t="str">
        <x:v>버스 운행공급 부족</x:v>
      </x:c>
      <x:c r="C15" s="63" t="n">
        <x:v>0.17302847961417492</x:v>
      </x:c>
      <x:c r="D15" s="63" t="n">
        <x:v>0.5</x:v>
      </x:c>
      <x:c r="E15" s="63" t="n">
        <x:v>0.08651423980708746</x:v>
      </x:c>
      <x:c r="F15" s="63" t="n">
        <x:v>0.1</x:v>
      </x:c>
      <x:c r="G15" s="63" t="n">
        <x:v>-0.013485760192912546</x:v>
      </x:c>
      <x:c r="H15" s="38"/>
      <x:c r="I15" s="38" t="str">
        <x:v>버스 운행공급 부족</x:v>
      </x:c>
      <x:c r="J15" s="63" t="n">
        <x:v>0.08651423980708746</x:v>
      </x:c>
      <x:c r="K15" s="38"/>
      <x:c r="L15" s="38"/>
      <x:c r="M15" s="38"/>
      <x:c r="N15" s="38"/>
      <x:c r="O15" s="38"/>
      <x:c r="P15" s="38"/>
    </x:row>
    <x:row r="16">
      <x:c r="A16" s="38" t="str">
        <x:v>교통취약성</x:v>
      </x:c>
      <x:c r="B16" s="38" t="str">
        <x:v>정류장 밀도 부족</x:v>
      </x:c>
      <x:c r="C16" s="63" t="n">
        <x:v>0.17302847961417492</x:v>
      </x:c>
      <x:c r="D16" s="63" t="n">
        <x:v>0.5</x:v>
      </x:c>
      <x:c r="E16" s="63" t="n">
        <x:v>0.08651423980708746</x:v>
      </x:c>
      <x:c r="F16" s="63" t="n">
        <x:v>0.1</x:v>
      </x:c>
      <x:c r="G16" s="63" t="n">
        <x:v>-0.013485760192912546</x:v>
      </x:c>
      <x:c r="H16" s="38"/>
      <x:c r="I16" s="38" t="str">
        <x:v>정류장 밀도 부족</x:v>
      </x:c>
      <x:c r="J16" s="63" t="n">
        <x:v>0.08651423980708746</x:v>
      </x:c>
      <x:c r="K16" s="38"/>
      <x:c r="L16" s="38"/>
      <x:c r="M16" s="38"/>
      <x:c r="N16" s="38"/>
      <x:c r="O16" s="38"/>
      <x:c r="P16" s="38"/>
    </x:row>
    <x:row r="17">
      <x:c r="A17" s="38"/>
      <x:c r="B17" s="38"/>
      <x:c r="C17" s="38"/>
      <x:c r="D17" s="38"/>
      <x:c r="E17" s="38"/>
      <x:c r="F17" s="38"/>
      <x:c r="G17" s="38"/>
      <x:c r="H17" s="38"/>
      <x:c r="I17" s="38"/>
      <x:c r="J17" s="38"/>
      <x:c r="K17" s="38"/>
      <x:c r="L17" s="38"/>
      <x:c r="M17" s="38"/>
      <x:c r="N17" s="38"/>
      <x:c r="O17" s="38"/>
      <x:c r="P17" s="38"/>
    </x:row>
    <x:row r="18">
      <x:c r="A18" s="22" t="str">
        <x:v>검증</x:v>
      </x:c>
      <x:c r="B18" s="22" t="str">
        <x:v>퍼지 AHP 합계</x:v>
      </x:c>
      <x:c r="C18" s="22" t="str">
        <x:v>기존 합계</x:v>
      </x:c>
      <x:c r="D18" s="22" t="str">
        <x:v>결과</x:v>
      </x:c>
      <x:c r="E18" s="38"/>
      <x:c r="F18" s="38"/>
      <x:c r="G18" s="38"/>
      <x:c r="H18" s="38"/>
      <x:c r="I18" s="38"/>
      <x:c r="J18" s="38"/>
      <x:c r="K18" s="38"/>
      <x:c r="L18" s="38"/>
      <x:c r="M18" s="38"/>
      <x:c r="N18" s="38"/>
      <x:c r="O18" s="38"/>
      <x:c r="P18" s="38"/>
    </x:row>
    <x:row r="19">
      <x:c r="A19" s="38" t="str">
        <x:v>가중치 합계</x:v>
      </x:c>
      <x:c r="B19" s="63" t="n">
        <x:v>1</x:v>
      </x:c>
      <x:c r="C19" s="63" t="n">
        <x:v>1</x:v>
      </x:c>
      <x:c r="D19" s="38" t="str">
        <x:v>각각 100%</x:v>
      </x:c>
      <x:c r="E19" s="38"/>
      <x:c r="F19" s="38"/>
      <x:c r="G19" s="38"/>
      <x:c r="H19" s="38"/>
      <x:c r="I19" s="38"/>
      <x:c r="J19" s="38"/>
      <x:c r="K19" s="38"/>
      <x:c r="L19" s="38"/>
      <x:c r="M19" s="38"/>
      <x:c r="N19" s="38"/>
      <x:c r="O19" s="38"/>
      <x:c r="P19" s="38"/>
    </x:row>
    <x:row r="20">
      <x:c r="A20" s="38"/>
      <x:c r="B20" s="38"/>
      <x:c r="C20" s="38"/>
      <x:c r="D20" s="38"/>
      <x:c r="E20" s="38"/>
      <x:c r="F20" s="38"/>
      <x:c r="G20" s="38"/>
      <x:c r="H20" s="38"/>
      <x:c r="I20" s="38"/>
      <x:c r="J20" s="38"/>
      <x:c r="K20" s="38"/>
      <x:c r="L20" s="38"/>
      <x:c r="M20" s="38"/>
      <x:c r="N20" s="38"/>
      <x:c r="O20" s="38"/>
      <x:c r="P20" s="38"/>
    </x:row>
    <x:row r="21">
      <x:c r="A21" s="38"/>
      <x:c r="B21" s="38"/>
      <x:c r="C21" s="38"/>
      <x:c r="D21" s="38"/>
      <x:c r="E21" s="38"/>
      <x:c r="F21" s="38"/>
      <x:c r="G21" s="38"/>
      <x:c r="H21" s="38"/>
      <x:c r="I21" s="38"/>
      <x:c r="J21" s="38"/>
      <x:c r="K21" s="38"/>
      <x:c r="L21" s="38"/>
      <x:c r="M21" s="38"/>
      <x:c r="N21" s="38"/>
      <x:c r="O21" s="38"/>
      <x:c r="P21" s="38"/>
    </x:row>
    <x:row r="22">
      <x:c r="A22" s="38"/>
      <x:c r="B22" s="38"/>
      <x:c r="C22" s="38"/>
      <x:c r="D22" s="38"/>
      <x:c r="E22" s="38"/>
      <x:c r="F22" s="38"/>
      <x:c r="G22" s="38"/>
      <x:c r="H22" s="38"/>
      <x:c r="I22" s="38"/>
      <x:c r="J22" s="38"/>
      <x:c r="K22" s="38"/>
      <x:c r="L22" s="38"/>
      <x:c r="M22" s="38"/>
      <x:c r="N22" s="38"/>
      <x:c r="O22" s="38"/>
      <x:c r="P22" s="38"/>
    </x:row>
    <x:row r="23">
      <x:c r="A23" s="38"/>
      <x:c r="B23" s="38"/>
      <x:c r="C23" s="38"/>
      <x:c r="D23" s="38"/>
      <x:c r="E23" s="38"/>
      <x:c r="F23" s="38"/>
      <x:c r="G23" s="38"/>
      <x:c r="H23" s="38"/>
      <x:c r="I23" s="38"/>
      <x:c r="J23" s="38"/>
      <x:c r="K23" s="38"/>
      <x:c r="L23" s="38"/>
      <x:c r="M23" s="38"/>
      <x:c r="N23" s="38"/>
      <x:c r="O23" s="38"/>
      <x:c r="P23" s="38"/>
    </x:row>
    <x:row r="24">
      <x:c r="A24" s="38"/>
      <x:c r="B24" s="38"/>
      <x:c r="C24" s="38"/>
      <x:c r="D24" s="38"/>
      <x:c r="E24" s="38"/>
      <x:c r="F24" s="38"/>
      <x:c r="G24" s="38"/>
      <x:c r="H24" s="38"/>
      <x:c r="I24" s="38"/>
      <x:c r="J24" s="38"/>
      <x:c r="K24" s="38"/>
      <x:c r="L24" s="38"/>
      <x:c r="M24" s="38"/>
      <x:c r="N24" s="38"/>
      <x:c r="O24" s="38"/>
      <x:c r="P24" s="38"/>
    </x:row>
    <x:row r="25">
      <x:c r="A25" s="38"/>
      <x:c r="B25" s="38"/>
      <x:c r="C25" s="38"/>
      <x:c r="D25" s="38"/>
      <x:c r="E25" s="38"/>
      <x:c r="F25" s="38"/>
      <x:c r="G25" s="38"/>
      <x:c r="H25" s="38"/>
      <x:c r="I25" s="38"/>
      <x:c r="J25" s="38"/>
      <x:c r="K25" s="38"/>
      <x:c r="L25" s="38"/>
      <x:c r="M25" s="38"/>
      <x:c r="N25" s="38"/>
      <x:c r="O25" s="38"/>
      <x:c r="P25" s="38"/>
    </x:row>
    <x:row r="26">
      <x:c r="A26" s="38"/>
      <x:c r="B26" s="38"/>
      <x:c r="C26" s="38"/>
      <x:c r="D26" s="38"/>
      <x:c r="E26" s="38"/>
      <x:c r="F26" s="38"/>
      <x:c r="G26" s="38"/>
      <x:c r="H26" s="38"/>
      <x:c r="I26" s="38"/>
      <x:c r="J26" s="38"/>
      <x:c r="K26" s="38"/>
      <x:c r="L26" s="38"/>
      <x:c r="M26" s="38"/>
      <x:c r="N26" s="38"/>
      <x:c r="O26" s="38"/>
      <x:c r="P26" s="38"/>
    </x:row>
    <x:row r="27">
      <x:c r="A27" s="38"/>
      <x:c r="B27" s="38"/>
      <x:c r="C27" s="38"/>
      <x:c r="D27" s="38"/>
      <x:c r="E27" s="38"/>
      <x:c r="F27" s="38"/>
      <x:c r="G27" s="38"/>
      <x:c r="H27" s="38"/>
      <x:c r="I27" s="38"/>
      <x:c r="J27" s="38"/>
      <x:c r="K27" s="38"/>
      <x:c r="L27" s="38"/>
      <x:c r="M27" s="38"/>
      <x:c r="N27" s="38"/>
      <x:c r="O27" s="38"/>
      <x:c r="P27" s="38"/>
    </x:row>
    <x:row r="28">
      <x:c r="A28" s="38"/>
      <x:c r="B28" s="38"/>
      <x:c r="C28" s="38"/>
      <x:c r="D28" s="38"/>
      <x:c r="E28" s="38"/>
      <x:c r="F28" s="38"/>
      <x:c r="G28" s="38"/>
      <x:c r="H28" s="38"/>
      <x:c r="I28" s="38"/>
      <x:c r="J28" s="38"/>
      <x:c r="K28" s="38"/>
      <x:c r="L28" s="38"/>
      <x:c r="M28" s="38"/>
      <x:c r="N28" s="38"/>
      <x:c r="O28" s="38"/>
      <x:c r="P28" s="38"/>
    </x:row>
    <x:row r="29">
      <x:c r="A29" s="38"/>
      <x:c r="B29" s="38"/>
      <x:c r="C29" s="38"/>
      <x:c r="D29" s="38"/>
      <x:c r="E29" s="38"/>
      <x:c r="F29" s="38"/>
      <x:c r="G29" s="38"/>
      <x:c r="H29" s="38"/>
      <x:c r="I29" s="38"/>
      <x:c r="J29" s="38"/>
      <x:c r="K29" s="38"/>
      <x:c r="L29" s="38"/>
      <x:c r="M29" s="38"/>
      <x:c r="N29" s="38"/>
      <x:c r="O29" s="38"/>
      <x:c r="P29" s="38"/>
    </x:row>
    <x:row r="30">
      <x:c r="A30" s="38"/>
      <x:c r="B30" s="38"/>
      <x:c r="C30" s="38"/>
      <x:c r="D30" s="38"/>
      <x:c r="E30" s="38"/>
      <x:c r="F30" s="38"/>
      <x:c r="G30" s="38"/>
      <x:c r="H30" s="38"/>
      <x:c r="I30" s="38"/>
      <x:c r="J30" s="38"/>
      <x:c r="K30" s="38"/>
      <x:c r="L30" s="38"/>
      <x:c r="M30" s="38"/>
      <x:c r="N30" s="38"/>
      <x:c r="O30" s="38"/>
      <x:c r="P30" s="38"/>
    </x:row>
    <x:row r="31">
      <x:c r="A31" s="38"/>
      <x:c r="B31" s="38"/>
      <x:c r="C31" s="38"/>
      <x:c r="D31" s="38"/>
      <x:c r="E31" s="38"/>
      <x:c r="F31" s="38"/>
      <x:c r="G31" s="38"/>
      <x:c r="H31" s="38"/>
      <x:c r="I31" s="38"/>
      <x:c r="J31" s="38"/>
      <x:c r="K31" s="38"/>
      <x:c r="L31" s="38"/>
      <x:c r="M31" s="38"/>
      <x:c r="N31" s="38"/>
      <x:c r="O31" s="38"/>
      <x:c r="P31" s="38"/>
    </x:row>
    <x:row r="32">
      <x:c r="A32" s="38"/>
      <x:c r="B32" s="38"/>
      <x:c r="C32" s="38"/>
      <x:c r="D32" s="38"/>
      <x:c r="E32" s="38"/>
      <x:c r="F32" s="38"/>
      <x:c r="G32" s="38"/>
      <x:c r="H32" s="38"/>
      <x:c r="I32" s="38"/>
      <x:c r="J32" s="38"/>
      <x:c r="K32" s="38"/>
      <x:c r="L32" s="38"/>
      <x:c r="M32" s="38"/>
      <x:c r="N32" s="38"/>
      <x:c r="O32" s="38"/>
      <x:c r="P32" s="38"/>
    </x:row>
    <x:row r="33">
      <x:c r="A33" s="38"/>
      <x:c r="B33" s="38"/>
      <x:c r="C33" s="38"/>
      <x:c r="D33" s="38"/>
      <x:c r="E33" s="38"/>
      <x:c r="F33" s="38"/>
      <x:c r="G33" s="38"/>
      <x:c r="H33" s="38"/>
      <x:c r="I33" s="38"/>
      <x:c r="J33" s="38"/>
      <x:c r="K33" s="38"/>
      <x:c r="L33" s="38"/>
      <x:c r="M33" s="38"/>
      <x:c r="N33" s="38"/>
      <x:c r="O33" s="38"/>
      <x:c r="P33" s="38"/>
    </x:row>
    <x:row r="34">
      <x:c r="A34" s="38"/>
      <x:c r="B34" s="38"/>
      <x:c r="C34" s="38"/>
      <x:c r="D34" s="38"/>
      <x:c r="E34" s="38"/>
      <x:c r="F34" s="38"/>
      <x:c r="G34" s="38"/>
      <x:c r="H34" s="38"/>
      <x:c r="I34" s="38"/>
      <x:c r="J34" s="38"/>
      <x:c r="K34" s="38"/>
      <x:c r="L34" s="38"/>
      <x:c r="M34" s="38"/>
      <x:c r="N34" s="38"/>
      <x:c r="O34" s="38"/>
      <x:c r="P34" s="38"/>
    </x:row>
    <x:row r="35">
      <x:c r="A35" s="38"/>
      <x:c r="B35" s="38"/>
      <x:c r="C35" s="38"/>
      <x:c r="D35" s="38"/>
      <x:c r="E35" s="38"/>
      <x:c r="F35" s="38"/>
      <x:c r="G35" s="38"/>
      <x:c r="H35" s="38"/>
      <x:c r="I35" s="38"/>
      <x:c r="J35" s="38"/>
      <x:c r="K35" s="38"/>
      <x:c r="L35" s="38"/>
      <x:c r="M35" s="38"/>
      <x:c r="N35" s="38"/>
      <x:c r="O35" s="38"/>
      <x:c r="P35" s="38"/>
    </x:row>
  </x:sheetData>
  <x:mergeCells>
    <x:mergeCell ref="A1:J2"/>
    <x:mergeCell ref="A4:J6"/>
  </x:mergeCells>
  <x:conditionalFormatting sqref="E9:E16">
    <x:cfRule type="dataBar" priority="1">
      <x:dataBar>
        <x:cfvo type="min"/>
        <x:cfvo type="max"/>
        <x:color rgb="FF4472C4"/>
      </x:dataBar>
      <x:extLst>
        <x:ext xmlns:x14="http://schemas.microsoft.com/office/spreadsheetml/2009/9/main" uri="{B025F937-C7B1-47D3-B67F-A62EFF666E3E}">
          <x14:id>{616681F8-E507-7801-55DE-8C78A1108606}</x14:id>
        </x:ext>
      </x:extLst>
    </x:cfRule>
  </x:conditionalFormatting>
  <x:conditionalFormatting sqref="G9:G16">
    <x:cfRule type="cellIs" dxfId="0" priority="2" operator="greaterThan">
      <x:formula>0</x:formula>
    </x:cfRule>
    <x:cfRule type="cellIs" dxfId="1" priority="3" operator="lessThan">
      <x:formula>0</x:formula>
    </x:cfRule>
  </x:conditionalFormatting>
  <x:pageMargins left="0.7" right="0.7" top="0.75" bottom="0.75" header="0.3" footer="0.3"/>
  <x:drawing xmlns:r="http://schemas.openxmlformats.org/officeDocument/2006/relationships" r:id="Rffec35fd257a4d27"/>
  <x:extLst>
    <x:ext xmlns:x14="http://schemas.microsoft.com/office/spreadsheetml/2009/9/main" xmlns:xm="http://schemas.microsoft.com/office/excel/2006/main" uri="{78C0D931-6437-407d-A8EE-F0AAD7539E65}">
      <x14:conditionalFormattings>
        <x14:conditionalFormatting>
          <x14:cfRule type="dataBar" priority="1" id="{616681F8-E507-7801-55DE-8C78A1108606}">
            <x14:dataBar gradient="1">
              <x14:cfvo type="min"/>
              <x14:cfvo type="max"/>
              <x14:fillColor rgb="FF4472C4"/>
            </x14:dataBar>
          </x14:cfRule>
          <xm:sqref>E9:E16</xm:sqref>
        </x14:conditionalFormatting>
      </x14:conditionalFormattings>
    </x:ext>
  </x:extLst>
</x:worksheet>
</file>

<file path=xl/worksheets/sheet8.xml><?xml version="1.0" encoding="utf-8"?>
<x:worksheet xmlns:x="http://schemas.openxmlformats.org/spreadsheetml/2006/main">
  <x:sheetFormatPr defaultRowHeight="15"/>
  <x:cols>
    <x:col min="1" max="1" width="18" hidden="0" customWidth="1"/>
    <x:col min="2" max="2" width="28" hidden="0" customWidth="1"/>
    <x:col min="3" max="3" width="28" hidden="0" customWidth="1"/>
    <x:col min="4" max="4" width="28" hidden="0" customWidth="1"/>
    <x:col min="5" max="5" width="18" hidden="0" customWidth="1"/>
    <x:col min="6" max="6" width="22" hidden="0" customWidth="1"/>
    <x:col min="7" max="7" width="18" hidden="0" customWidth="1"/>
    <x:col min="8" max="8" width="18" hidden="0" customWidth="1"/>
    <x:col min="9" max="9" width="18" hidden="0" customWidth="1"/>
    <x:col min="10" max="10" width="38" hidden="0" customWidth="1"/>
  </x:cols>
  <x:sheetData>
    <x:row r="1">
      <x:c r="A1" s="5" t="str">
        <x:v>퍼지 AHP 전문가 쌍대비교 설문지</x:v>
      </x:c>
      <x:c r="B1" s="5"/>
      <x:c r="C1" s="5"/>
      <x:c r="D1" s="5"/>
      <x:c r="E1" s="5"/>
      <x:c r="F1" s="5"/>
      <x:c r="G1" s="5"/>
      <x:c r="H1" s="5"/>
      <x:c r="I1" s="5"/>
      <x:c r="J1" s="5"/>
    </x:row>
    <x:row r="2">
      <x:c r="A2" s="5"/>
      <x:c r="B2" s="5"/>
      <x:c r="C2" s="5"/>
      <x:c r="D2" s="5"/>
      <x:c r="E2" s="5"/>
      <x:c r="F2" s="5"/>
      <x:c r="G2" s="5"/>
      <x:c r="H2" s="5"/>
      <x:c r="I2" s="5"/>
      <x:c r="J2" s="5"/>
    </x:row>
    <x:row r="4">
      <x:c r="A4" s="45" t="str">
        <x:v>각 행에서 왼쪽 지표와 오른쪽 지표 중 어느 것이 방문건강관리 우선지역 선정에 더 중요한지 판단합니다. 동일/약간/보통 이상/강하게/매우 강하게/극단적으로 중 하나를 선택하고 근거를 적습니다. 여러 전문가 응답은 쌍대비교별 퍼지수의 기하평균으로 통합하는 것이 일반적입니다.</x:v>
      </x:c>
      <x:c r="B4" s="45"/>
      <x:c r="C4" s="45"/>
      <x:c r="D4" s="45"/>
      <x:c r="E4" s="45"/>
      <x:c r="F4" s="45"/>
      <x:c r="G4" s="45"/>
      <x:c r="H4" s="45"/>
      <x:c r="I4" s="45"/>
      <x:c r="J4" s="45"/>
    </x:row>
    <x:row r="5">
      <x:c r="A5" s="45"/>
      <x:c r="B5" s="45"/>
      <x:c r="C5" s="45"/>
      <x:c r="D5" s="45"/>
      <x:c r="E5" s="45"/>
      <x:c r="F5" s="45"/>
      <x:c r="G5" s="45"/>
      <x:c r="H5" s="45"/>
      <x:c r="I5" s="45"/>
      <x:c r="J5" s="45"/>
    </x:row>
    <x:row r="6">
      <x:c r="A6" s="45"/>
      <x:c r="B6" s="45"/>
      <x:c r="C6" s="45"/>
      <x:c r="D6" s="45"/>
      <x:c r="E6" s="45"/>
      <x:c r="F6" s="45"/>
      <x:c r="G6" s="45"/>
      <x:c r="H6" s="45"/>
      <x:c r="I6" s="45"/>
      <x:c r="J6" s="45"/>
    </x:row>
    <x:row r="8">
      <x:c r="A8" s="22" t="str">
        <x:v>번호</x:v>
      </x:c>
      <x:c r="B8" s="22" t="str">
        <x:v>계층</x:v>
      </x:c>
      <x:c r="C8" s="22" t="str">
        <x:v>왼쪽 지표</x:v>
      </x:c>
      <x:c r="D8" s="22" t="str">
        <x:v>오른쪽 지표</x:v>
      </x:c>
      <x:c r="E8" s="22" t="str">
        <x:v>더 중요한 쪽</x:v>
      </x:c>
      <x:c r="F8" s="22" t="str">
        <x:v>중요도 판단</x:v>
      </x:c>
      <x:c r="G8" s="22" t="str">
        <x:v>TFN 하한</x:v>
      </x:c>
      <x:c r="H8" s="22" t="str">
        <x:v>TFN 중심</x:v>
      </x:c>
      <x:c r="I8" s="22" t="str">
        <x:v>TFN 상한</x:v>
      </x:c>
      <x:c r="J8" s="22" t="str">
        <x:v>판단 근거</x:v>
      </x:c>
    </x:row>
    <x:row r="9">
      <x:c r="A9" s="38" t="n">
        <x:v>1</x:v>
      </x:c>
      <x:c r="B9" s="38" t="str">
        <x:v>상위 영역: 인구·의료·교통</x:v>
      </x:c>
      <x:c r="C9" s="38" t="str">
        <x:v>인구취약성</x:v>
      </x:c>
      <x:c r="D9" s="38" t="str">
        <x:v>의료취약성</x:v>
      </x:c>
      <x:c r="E9" s="61" t="str">
        <x:v>인구취약성</x:v>
      </x:c>
      <x:c r="F9" s="61" t="str">
        <x:v>약간 더 중요</x:v>
      </x:c>
      <x:c r="G9" s="61" t="n">
        <x:v>1</x:v>
      </x:c>
      <x:c r="H9" s="61" t="n">
        <x:v>2</x:v>
      </x:c>
      <x:c r="I9" s="61" t="n">
        <x:v>3</x:v>
      </x:c>
      <x:c r="J9" s="38" t="str"/>
    </x:row>
    <x:row r="10">
      <x:c r="A10" s="38" t="n">
        <x:v>2</x:v>
      </x:c>
      <x:c r="B10" s="38" t="str">
        <x:v>상위 영역: 인구·의료·교통</x:v>
      </x:c>
      <x:c r="C10" s="38" t="str">
        <x:v>인구취약성</x:v>
      </x:c>
      <x:c r="D10" s="38" t="str">
        <x:v>교통취약성</x:v>
      </x:c>
      <x:c r="E10" s="61" t="str">
        <x:v>인구취약성</x:v>
      </x:c>
      <x:c r="F10" s="61" t="str">
        <x:v>보통 이상 중요</x:v>
      </x:c>
      <x:c r="G10" s="61" t="n">
        <x:v>2</x:v>
      </x:c>
      <x:c r="H10" s="61" t="n">
        <x:v>3</x:v>
      </x:c>
      <x:c r="I10" s="61" t="n">
        <x:v>4</x:v>
      </x:c>
      <x:c r="J10" s="38" t="str"/>
    </x:row>
    <x:row r="11">
      <x:c r="A11" s="38" t="n">
        <x:v>3</x:v>
      </x:c>
      <x:c r="B11" s="38" t="str">
        <x:v>상위 영역: 인구·의료·교통</x:v>
      </x:c>
      <x:c r="C11" s="38" t="str">
        <x:v>의료취약성</x:v>
      </x:c>
      <x:c r="D11" s="38" t="str">
        <x:v>교통취약성</x:v>
      </x:c>
      <x:c r="E11" s="61" t="str">
        <x:v>의료취약성</x:v>
      </x:c>
      <x:c r="F11" s="61" t="str">
        <x:v>약간 더 중요</x:v>
      </x:c>
      <x:c r="G11" s="61" t="n">
        <x:v>1</x:v>
      </x:c>
      <x:c r="H11" s="61" t="n">
        <x:v>2</x:v>
      </x:c>
      <x:c r="I11" s="61" t="n">
        <x:v>3</x:v>
      </x:c>
      <x:c r="J11" s="38" t="str"/>
    </x:row>
    <x:row r="12">
      <x:c r="A12" s="38" t="n">
        <x:v>4</x:v>
      </x:c>
      <x:c r="B12" s="38" t="str">
        <x:v>인구취약성 하위지표</x:v>
      </x:c>
      <x:c r="C12" s="38" t="str">
        <x:v>고령인구 비율</x:v>
      </x:c>
      <x:c r="D12" s="38" t="str">
        <x:v>독거노인 비율</x:v>
      </x:c>
      <x:c r="E12" s="61" t="str">
        <x:v>고령인구 비율</x:v>
      </x:c>
      <x:c r="F12" s="61" t="str">
        <x:v>동일하게 중요</x:v>
      </x:c>
      <x:c r="G12" s="61" t="n">
        <x:v>1</x:v>
      </x:c>
      <x:c r="H12" s="61" t="n">
        <x:v>1</x:v>
      </x:c>
      <x:c r="I12" s="61" t="n">
        <x:v>1</x:v>
      </x:c>
      <x:c r="J12" s="38" t="str"/>
    </x:row>
    <x:row r="13">
      <x:c r="A13" s="38" t="n">
        <x:v>5</x:v>
      </x:c>
      <x:c r="B13" s="38" t="str">
        <x:v>인구취약성 하위지표</x:v>
      </x:c>
      <x:c r="C13" s="38" t="str">
        <x:v>고령인구 비율</x:v>
      </x:c>
      <x:c r="D13" s="38" t="str">
        <x:v>심한 장애인 비율</x:v>
      </x:c>
      <x:c r="E13" s="61" t="str">
        <x:v>고령인구 비율</x:v>
      </x:c>
      <x:c r="F13" s="61" t="str">
        <x:v>약간 더 중요</x:v>
      </x:c>
      <x:c r="G13" s="61" t="n">
        <x:v>1</x:v>
      </x:c>
      <x:c r="H13" s="61" t="n">
        <x:v>2</x:v>
      </x:c>
      <x:c r="I13" s="61" t="n">
        <x:v>3</x:v>
      </x:c>
      <x:c r="J13" s="38" t="str"/>
    </x:row>
    <x:row r="14">
      <x:c r="A14" s="38" t="n">
        <x:v>6</x:v>
      </x:c>
      <x:c r="B14" s="38" t="str">
        <x:v>인구취약성 하위지표</x:v>
      </x:c>
      <x:c r="C14" s="38" t="str">
        <x:v>고령인구 비율</x:v>
      </x:c>
      <x:c r="D14" s="38" t="str">
        <x:v>고령인구 규모</x:v>
      </x:c>
      <x:c r="E14" s="61" t="str">
        <x:v>고령인구 비율</x:v>
      </x:c>
      <x:c r="F14" s="61" t="str">
        <x:v>보통 이상 중요</x:v>
      </x:c>
      <x:c r="G14" s="61" t="n">
        <x:v>2</x:v>
      </x:c>
      <x:c r="H14" s="61" t="n">
        <x:v>3</x:v>
      </x:c>
      <x:c r="I14" s="61" t="n">
        <x:v>4</x:v>
      </x:c>
      <x:c r="J14" s="38" t="str"/>
    </x:row>
    <x:row r="15">
      <x:c r="A15" s="38" t="n">
        <x:v>7</x:v>
      </x:c>
      <x:c r="B15" s="38" t="str">
        <x:v>인구취약성 하위지표</x:v>
      </x:c>
      <x:c r="C15" s="38" t="str">
        <x:v>독거노인 비율</x:v>
      </x:c>
      <x:c r="D15" s="38" t="str">
        <x:v>심한 장애인 비율</x:v>
      </x:c>
      <x:c r="E15" s="61" t="str">
        <x:v>독거노인 비율</x:v>
      </x:c>
      <x:c r="F15" s="61" t="str">
        <x:v>약간 더 중요</x:v>
      </x:c>
      <x:c r="G15" s="61" t="n">
        <x:v>1</x:v>
      </x:c>
      <x:c r="H15" s="61" t="n">
        <x:v>2</x:v>
      </x:c>
      <x:c r="I15" s="61" t="n">
        <x:v>3</x:v>
      </x:c>
      <x:c r="J15" s="38" t="str"/>
    </x:row>
    <x:row r="16">
      <x:c r="A16" s="38" t="n">
        <x:v>8</x:v>
      </x:c>
      <x:c r="B16" s="38" t="str">
        <x:v>인구취약성 하위지표</x:v>
      </x:c>
      <x:c r="C16" s="38" t="str">
        <x:v>독거노인 비율</x:v>
      </x:c>
      <x:c r="D16" s="38" t="str">
        <x:v>고령인구 규모</x:v>
      </x:c>
      <x:c r="E16" s="61" t="str">
        <x:v>독거노인 비율</x:v>
      </x:c>
      <x:c r="F16" s="61" t="str">
        <x:v>보통 이상 중요</x:v>
      </x:c>
      <x:c r="G16" s="61" t="n">
        <x:v>2</x:v>
      </x:c>
      <x:c r="H16" s="61" t="n">
        <x:v>3</x:v>
      </x:c>
      <x:c r="I16" s="61" t="n">
        <x:v>4</x:v>
      </x:c>
      <x:c r="J16" s="38" t="str"/>
    </x:row>
    <x:row r="17">
      <x:c r="A17" s="38" t="n">
        <x:v>9</x:v>
      </x:c>
      <x:c r="B17" s="38" t="str">
        <x:v>인구취약성 하위지표</x:v>
      </x:c>
      <x:c r="C17" s="38" t="str">
        <x:v>심한 장애인 비율</x:v>
      </x:c>
      <x:c r="D17" s="38" t="str">
        <x:v>고령인구 규모</x:v>
      </x:c>
      <x:c r="E17" s="61" t="str">
        <x:v>심한 장애인 비율</x:v>
      </x:c>
      <x:c r="F17" s="61" t="str">
        <x:v>약간 더 중요</x:v>
      </x:c>
      <x:c r="G17" s="61" t="n">
        <x:v>1</x:v>
      </x:c>
      <x:c r="H17" s="61" t="n">
        <x:v>2</x:v>
      </x:c>
      <x:c r="I17" s="61" t="n">
        <x:v>3</x:v>
      </x:c>
      <x:c r="J17" s="38" t="str"/>
    </x:row>
    <x:row r="18">
      <x:c r="A18" s="38" t="n">
        <x:v>10</x:v>
      </x:c>
      <x:c r="B18" s="38" t="str">
        <x:v>의료취약성 하위지표</x:v>
      </x:c>
      <x:c r="C18" s="38" t="str">
        <x:v>고령인구 대비 의료기관 부족</x:v>
      </x:c>
      <x:c r="D18" s="38" t="str">
        <x:v>공공 보건기관 부족</x:v>
      </x:c>
      <x:c r="E18" s="61" t="str">
        <x:v>고령인구 대비 의료기관 부족</x:v>
      </x:c>
      <x:c r="F18" s="61" t="str">
        <x:v>보통 이상 중요</x:v>
      </x:c>
      <x:c r="G18" s="61" t="n">
        <x:v>2</x:v>
      </x:c>
      <x:c r="H18" s="61" t="n">
        <x:v>3</x:v>
      </x:c>
      <x:c r="I18" s="61" t="n">
        <x:v>4</x:v>
      </x:c>
      <x:c r="J18" s="38" t="str"/>
    </x:row>
    <x:row r="19">
      <x:c r="A19" s="38" t="n">
        <x:v>11</x:v>
      </x:c>
      <x:c r="B19" s="38" t="str">
        <x:v>교통취약성 하위지표</x:v>
      </x:c>
      <x:c r="C19" s="38" t="str">
        <x:v>버스 운행공급 부족</x:v>
      </x:c>
      <x:c r="D19" s="38" t="str">
        <x:v>정류장 밀도 부족</x:v>
      </x:c>
      <x:c r="E19" s="61" t="str">
        <x:v>버스 운행공급 부족</x:v>
      </x:c>
      <x:c r="F19" s="61" t="str">
        <x:v>동일하게 중요</x:v>
      </x:c>
      <x:c r="G19" s="61" t="n">
        <x:v>1</x:v>
      </x:c>
      <x:c r="H19" s="61" t="n">
        <x:v>1</x:v>
      </x:c>
      <x:c r="I19" s="61" t="n">
        <x:v>1</x:v>
      </x:c>
      <x:c r="J19" s="38" t="str"/>
    </x:row>
  </x:sheetData>
  <x:mergeCells>
    <x:mergeCell ref="A1:J2"/>
    <x:mergeCell ref="A4:J6"/>
  </x:mergeCells>
  <x:dataValidations count="2">
    <x:dataValidation type="list" sqref="E9:E19">
      <x:formula1>"왼쪽 지표,오른쪽 지표,동일"</x:formula1>
    </x:dataValidation>
    <x:dataValidation type="list" sqref="F9:F19">
      <x:formula1>"동일하게 중요,약간 더 중요,보통 이상 중요,강하게 중요,매우 강하게 중요,극단적으로 중요"</x:formula1>
    </x:dataValidation>
  </x:dataValidations>
  <x:pageMargins left="0.7" right="0.7" top="0.75" bottom="0.75" header="0.3" footer="0.3"/>
</x:worksheet>
</file>