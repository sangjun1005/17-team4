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esktop\주민등록 인구통계\2026\게시용\"/>
    </mc:Choice>
  </mc:AlternateContent>
  <xr:revisionPtr revIDLastSave="0" documentId="13_ncr:1_{70CEE02D-306B-453A-A9B8-247D2F33D346}" xr6:coauthVersionLast="47" xr6:coauthVersionMax="47" xr10:uidLastSave="{00000000-0000-0000-0000-000000000000}"/>
  <bookViews>
    <workbookView xWindow="28680" yWindow="-120" windowWidth="29040" windowHeight="15720" tabRatio="802" firstSheet="2" activeTab="2" xr2:uid="{00000000-000D-0000-FFFF-FFFF00000000}"/>
  </bookViews>
  <sheets>
    <sheet name="laroux" sheetId="48" state="veryHidden" r:id="rId1"/>
    <sheet name="pldt" sheetId="53" state="veryHidden" r:id="rId2"/>
    <sheet name="행정통(리)인구" sheetId="51" r:id="rId3"/>
    <sheet name="법정동(리)인구" sheetId="52" r:id="rId4"/>
  </sheets>
  <definedNames>
    <definedName name="_xlnm.Print_Area" localSheetId="2">'행정통(리)인구'!$A$1:$G$1271</definedName>
    <definedName name="_xlnm.Print_Titles" localSheetId="3">'법정동(리)인구'!$3:$4</definedName>
    <definedName name="_xlnm.Print_Titles" localSheetId="2">'행정통(리)인구'!$3:$4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22" i="51" l="1"/>
  <c r="D92" i="51" l="1"/>
  <c r="F410" i="51"/>
  <c r="E410" i="51"/>
  <c r="D410" i="51"/>
  <c r="C410" i="51"/>
  <c r="F127" i="51" l="1"/>
  <c r="E127" i="51"/>
  <c r="D127" i="51"/>
  <c r="C127" i="51"/>
  <c r="C181" i="52" l="1"/>
  <c r="F203" i="52"/>
  <c r="E203" i="52"/>
  <c r="D203" i="52"/>
  <c r="C203" i="52"/>
  <c r="F205" i="52" l="1"/>
  <c r="E205" i="52"/>
  <c r="D205" i="52"/>
  <c r="C205" i="52"/>
  <c r="F207" i="52" l="1"/>
  <c r="E207" i="52"/>
  <c r="D207" i="52"/>
  <c r="C207" i="52"/>
  <c r="F209" i="52" l="1"/>
  <c r="E209" i="52"/>
  <c r="D209" i="52"/>
  <c r="C209" i="52"/>
  <c r="F211" i="52" l="1"/>
  <c r="E211" i="52"/>
  <c r="D211" i="52"/>
  <c r="C211" i="52"/>
  <c r="F213" i="52" l="1"/>
  <c r="E213" i="52"/>
  <c r="D213" i="52"/>
  <c r="C213" i="52"/>
  <c r="F217" i="52" l="1"/>
  <c r="E217" i="52"/>
  <c r="C217" i="52"/>
  <c r="D217" i="52"/>
  <c r="C215" i="52"/>
  <c r="F215" i="52"/>
  <c r="E215" i="52"/>
  <c r="D215" i="52"/>
  <c r="F866" i="51" l="1"/>
  <c r="E866" i="51"/>
  <c r="D866" i="51"/>
  <c r="C866" i="51"/>
  <c r="C605" i="51"/>
  <c r="F166" i="52" l="1"/>
  <c r="E166" i="52"/>
  <c r="C166" i="52"/>
  <c r="D166" i="52"/>
  <c r="F829" i="51" l="1"/>
  <c r="E829" i="51"/>
  <c r="C829" i="51"/>
  <c r="D829" i="51"/>
  <c r="D200" i="52"/>
  <c r="E200" i="52"/>
  <c r="F200" i="52"/>
  <c r="C200" i="52"/>
  <c r="D152" i="52" l="1"/>
  <c r="F472" i="51" l="1"/>
  <c r="E472" i="51"/>
  <c r="D472" i="51"/>
  <c r="C472" i="51"/>
  <c r="D922" i="51" l="1"/>
  <c r="F47" i="52" l="1"/>
  <c r="E47" i="52"/>
  <c r="D47" i="52"/>
  <c r="C47" i="52"/>
  <c r="F329" i="51" l="1"/>
  <c r="E329" i="51"/>
  <c r="D329" i="51"/>
  <c r="C329" i="51"/>
  <c r="D1007" i="51" l="1"/>
  <c r="F35" i="52" l="1"/>
  <c r="E35" i="52"/>
  <c r="D35" i="52"/>
  <c r="C35" i="52"/>
  <c r="C26" i="52" l="1"/>
  <c r="D26" i="52"/>
  <c r="E26" i="52"/>
  <c r="F26" i="52"/>
  <c r="F1134" i="51" l="1"/>
  <c r="E1134" i="51"/>
  <c r="D1134" i="51"/>
  <c r="C1134" i="51"/>
  <c r="F542" i="51" l="1"/>
  <c r="E542" i="51"/>
  <c r="D542" i="51"/>
  <c r="C542" i="51"/>
  <c r="C723" i="51" l="1"/>
  <c r="C784" i="51"/>
  <c r="C152" i="52" l="1"/>
  <c r="C92" i="51" l="1"/>
  <c r="E92" i="51"/>
  <c r="F92" i="51"/>
  <c r="C1053" i="51" l="1"/>
  <c r="E1053" i="51"/>
  <c r="F1053" i="51"/>
  <c r="D60" i="51" l="1"/>
  <c r="F222" i="52" l="1"/>
  <c r="E222" i="52"/>
  <c r="C222" i="52"/>
  <c r="F181" i="52"/>
  <c r="E181" i="52"/>
  <c r="F152" i="52"/>
  <c r="E152" i="52"/>
  <c r="F134" i="52"/>
  <c r="E134" i="52"/>
  <c r="C134" i="52"/>
  <c r="D130" i="52"/>
  <c r="F130" i="52"/>
  <c r="E130" i="52"/>
  <c r="C130" i="52"/>
  <c r="F124" i="52"/>
  <c r="E124" i="52"/>
  <c r="C124" i="52"/>
  <c r="F121" i="52"/>
  <c r="E121" i="52"/>
  <c r="C121" i="52"/>
  <c r="F118" i="52"/>
  <c r="E118" i="52"/>
  <c r="C118" i="52"/>
  <c r="D115" i="52"/>
  <c r="F115" i="52"/>
  <c r="E115" i="52"/>
  <c r="C115" i="52"/>
  <c r="D113" i="52"/>
  <c r="F113" i="52"/>
  <c r="E113" i="52"/>
  <c r="C113" i="52"/>
  <c r="F109" i="52"/>
  <c r="E109" i="52"/>
  <c r="C109" i="52"/>
  <c r="F105" i="52"/>
  <c r="E105" i="52"/>
  <c r="D105" i="52"/>
  <c r="C105" i="52"/>
  <c r="F100" i="52"/>
  <c r="E100" i="52"/>
  <c r="C100" i="52"/>
  <c r="F88" i="52"/>
  <c r="E88" i="52"/>
  <c r="C88" i="52"/>
  <c r="F78" i="52"/>
  <c r="E78" i="52"/>
  <c r="C78" i="52"/>
  <c r="F71" i="52"/>
  <c r="E71" i="52"/>
  <c r="C71" i="52"/>
  <c r="F61" i="52"/>
  <c r="E61" i="52"/>
  <c r="D61" i="52"/>
  <c r="C61" i="52"/>
  <c r="F7" i="52"/>
  <c r="E7" i="52"/>
  <c r="C7" i="52"/>
  <c r="F1208" i="51"/>
  <c r="E1208" i="51"/>
  <c r="C1208" i="51"/>
  <c r="F1094" i="51"/>
  <c r="E1094" i="51"/>
  <c r="C1094" i="51"/>
  <c r="F1007" i="51"/>
  <c r="E1007" i="51"/>
  <c r="C1007" i="51"/>
  <c r="F977" i="51"/>
  <c r="E977" i="51"/>
  <c r="C977" i="51"/>
  <c r="F922" i="51"/>
  <c r="E922" i="51"/>
  <c r="F896" i="51"/>
  <c r="E896" i="51"/>
  <c r="C896" i="51"/>
  <c r="F784" i="51"/>
  <c r="E784" i="51"/>
  <c r="D723" i="51"/>
  <c r="F723" i="51"/>
  <c r="E723" i="51"/>
  <c r="F678" i="51"/>
  <c r="E678" i="51"/>
  <c r="C678" i="51"/>
  <c r="F605" i="51"/>
  <c r="E605" i="51"/>
  <c r="F380" i="51"/>
  <c r="E380" i="51"/>
  <c r="C380" i="51"/>
  <c r="D350" i="51"/>
  <c r="F350" i="51"/>
  <c r="E350" i="51"/>
  <c r="C350" i="51"/>
  <c r="F311" i="51"/>
  <c r="E311" i="51"/>
  <c r="C311" i="51"/>
  <c r="F292" i="51"/>
  <c r="E292" i="51"/>
  <c r="C292" i="51"/>
  <c r="F271" i="51"/>
  <c r="E271" i="51"/>
  <c r="C271" i="51"/>
  <c r="F246" i="51"/>
  <c r="E246" i="51"/>
  <c r="C246" i="51"/>
  <c r="D205" i="51"/>
  <c r="F205" i="51"/>
  <c r="E205" i="51"/>
  <c r="C205" i="51"/>
  <c r="F185" i="51"/>
  <c r="E185" i="51"/>
  <c r="C185" i="51"/>
  <c r="F155" i="51"/>
  <c r="E155" i="51"/>
  <c r="C155" i="51"/>
  <c r="F60" i="51"/>
  <c r="E60" i="51"/>
  <c r="C60" i="51"/>
  <c r="D7" i="51"/>
  <c r="F7" i="51"/>
  <c r="E7" i="51"/>
  <c r="C7" i="51"/>
  <c r="C604" i="51" l="1"/>
  <c r="D222" i="52"/>
  <c r="E604" i="51"/>
  <c r="F604" i="51"/>
  <c r="D121" i="52"/>
  <c r="D100" i="52"/>
  <c r="C133" i="52"/>
  <c r="D109" i="52"/>
  <c r="D311" i="51"/>
  <c r="F6" i="52"/>
  <c r="E6" i="52"/>
  <c r="D88" i="52"/>
  <c r="C6" i="52"/>
  <c r="D181" i="52"/>
  <c r="D71" i="52"/>
  <c r="D7" i="52"/>
  <c r="D124" i="52"/>
  <c r="E133" i="52"/>
  <c r="D78" i="52"/>
  <c r="F133" i="52"/>
  <c r="D118" i="52"/>
  <c r="D134" i="52"/>
  <c r="D380" i="51"/>
  <c r="D605" i="51"/>
  <c r="D896" i="51"/>
  <c r="D1094" i="51"/>
  <c r="D1053" i="51"/>
  <c r="D784" i="51"/>
  <c r="D292" i="51"/>
  <c r="D678" i="51"/>
  <c r="D977" i="51"/>
  <c r="D271" i="51"/>
  <c r="D1208" i="51"/>
  <c r="D246" i="51"/>
  <c r="D185" i="51"/>
  <c r="D155" i="51"/>
  <c r="E6" i="51"/>
  <c r="F6" i="51"/>
  <c r="C6" i="51"/>
  <c r="C5" i="52" l="1"/>
  <c r="C5" i="51"/>
  <c r="D133" i="52"/>
  <c r="F5" i="52"/>
  <c r="D6" i="51"/>
  <c r="D6" i="52"/>
  <c r="E5" i="52"/>
  <c r="D604" i="51"/>
  <c r="F5" i="51"/>
  <c r="E5" i="51"/>
  <c r="D5" i="51" l="1"/>
  <c r="D5" i="52"/>
</calcChain>
</file>

<file path=xl/sharedStrings.xml><?xml version="1.0" encoding="utf-8"?>
<sst xmlns="http://schemas.openxmlformats.org/spreadsheetml/2006/main" count="1593" uniqueCount="788">
  <si>
    <t>계</t>
  </si>
  <si>
    <t>남</t>
  </si>
  <si>
    <t>여</t>
  </si>
  <si>
    <t>행  정  동</t>
    <phoneticPr fontId="3" type="noConversion"/>
  </si>
  <si>
    <t>교촌1리</t>
  </si>
  <si>
    <t>교촌2리</t>
  </si>
  <si>
    <t>교촌3리</t>
  </si>
  <si>
    <t>덕전1리</t>
  </si>
  <si>
    <t>덕전2리</t>
  </si>
  <si>
    <t>덕전3리</t>
  </si>
  <si>
    <t>도장1리</t>
  </si>
  <si>
    <t>도장2리</t>
  </si>
  <si>
    <t>동평1리</t>
  </si>
  <si>
    <t>동평2리</t>
  </si>
  <si>
    <t>동평3리</t>
  </si>
  <si>
    <t>삼성1리</t>
  </si>
  <si>
    <t>삼성2리</t>
  </si>
  <si>
    <t>삼성3리</t>
  </si>
  <si>
    <t>삼성4리</t>
  </si>
  <si>
    <t>삼성5리</t>
  </si>
  <si>
    <t>삼성6리</t>
  </si>
  <si>
    <t>서흥1리</t>
  </si>
  <si>
    <t>서흥2리</t>
  </si>
  <si>
    <t>신계1리</t>
  </si>
  <si>
    <t>신계2리</t>
  </si>
  <si>
    <t>신계3리</t>
  </si>
  <si>
    <t>신계4리</t>
  </si>
  <si>
    <t>신계5리</t>
  </si>
  <si>
    <t>신계6리</t>
  </si>
  <si>
    <t>신계7리</t>
  </si>
  <si>
    <t>신계8리</t>
  </si>
  <si>
    <t>신계9리</t>
  </si>
  <si>
    <t>신계10리</t>
  </si>
  <si>
    <t>신계11리</t>
  </si>
  <si>
    <t>운전1리</t>
  </si>
  <si>
    <t>운전2리</t>
  </si>
  <si>
    <t>운전3리</t>
  </si>
  <si>
    <t>응원1리</t>
  </si>
  <si>
    <t>응원2리</t>
  </si>
  <si>
    <t>응원3리</t>
  </si>
  <si>
    <t>지산1리</t>
  </si>
  <si>
    <t>지산2리</t>
  </si>
  <si>
    <t>천정1리</t>
  </si>
  <si>
    <t>가송1리</t>
  </si>
  <si>
    <t>가송2리</t>
  </si>
  <si>
    <t>가송3리</t>
  </si>
  <si>
    <t>남관1리</t>
  </si>
  <si>
    <t>남관2리</t>
  </si>
  <si>
    <t>남관3리</t>
  </si>
  <si>
    <t>남관4리</t>
  </si>
  <si>
    <t>두남1리</t>
  </si>
  <si>
    <t>두남2리</t>
  </si>
  <si>
    <t>미죽1리</t>
  </si>
  <si>
    <t>미죽2리</t>
  </si>
  <si>
    <t>보성1리</t>
  </si>
  <si>
    <t>보성2리</t>
  </si>
  <si>
    <t>삼태1리</t>
  </si>
  <si>
    <t>삼태2리</t>
  </si>
  <si>
    <t>용정1리</t>
  </si>
  <si>
    <t>용정2리</t>
  </si>
  <si>
    <t>용정3리</t>
  </si>
  <si>
    <t>풍서1리</t>
  </si>
  <si>
    <t>풍서2리</t>
  </si>
  <si>
    <t>풍서3리</t>
  </si>
  <si>
    <t>풍서4리</t>
  </si>
  <si>
    <t>풍서5리</t>
  </si>
  <si>
    <t>풍서6리</t>
  </si>
  <si>
    <t>2통</t>
  </si>
  <si>
    <t>3통</t>
  </si>
  <si>
    <t>4통</t>
  </si>
  <si>
    <t>5통</t>
  </si>
  <si>
    <t>6통</t>
  </si>
  <si>
    <t>7통</t>
  </si>
  <si>
    <t>8통</t>
  </si>
  <si>
    <t>9통</t>
  </si>
  <si>
    <t>10통</t>
  </si>
  <si>
    <t>11통</t>
  </si>
  <si>
    <t>12통</t>
  </si>
  <si>
    <t>13통</t>
  </si>
  <si>
    <t>14통</t>
  </si>
  <si>
    <t>15통</t>
  </si>
  <si>
    <t>16통</t>
  </si>
  <si>
    <t>17통</t>
  </si>
  <si>
    <t>18통</t>
  </si>
  <si>
    <t>19통</t>
  </si>
  <si>
    <t>20통</t>
  </si>
  <si>
    <t>1통</t>
  </si>
  <si>
    <t>21통</t>
  </si>
  <si>
    <t>22통</t>
  </si>
  <si>
    <t>23통</t>
  </si>
  <si>
    <t>24통</t>
  </si>
  <si>
    <t>25통</t>
  </si>
  <si>
    <t>26통</t>
  </si>
  <si>
    <t>27통</t>
  </si>
  <si>
    <t>28통</t>
  </si>
  <si>
    <t>29통</t>
  </si>
  <si>
    <t>30통</t>
  </si>
  <si>
    <t>31통</t>
  </si>
  <si>
    <t>32통</t>
  </si>
  <si>
    <t>33통</t>
  </si>
  <si>
    <t>34통</t>
  </si>
  <si>
    <t>35통</t>
  </si>
  <si>
    <t>36통</t>
  </si>
  <si>
    <t>37통</t>
  </si>
  <si>
    <t>38통</t>
  </si>
  <si>
    <t>39통</t>
  </si>
  <si>
    <t>40통</t>
  </si>
  <si>
    <t>41통</t>
  </si>
  <si>
    <t>42통</t>
  </si>
  <si>
    <t>44통</t>
  </si>
  <si>
    <t>45통</t>
  </si>
  <si>
    <t>46통</t>
  </si>
  <si>
    <t>49통</t>
  </si>
  <si>
    <t>50통</t>
  </si>
  <si>
    <t>51통</t>
  </si>
  <si>
    <t>52통</t>
  </si>
  <si>
    <t>53통</t>
  </si>
  <si>
    <t>54통</t>
  </si>
  <si>
    <t>55통</t>
  </si>
  <si>
    <t>56통</t>
  </si>
  <si>
    <t>57통</t>
  </si>
  <si>
    <t>58통</t>
  </si>
  <si>
    <t>59통</t>
  </si>
  <si>
    <t>43통</t>
  </si>
  <si>
    <t>60통</t>
  </si>
  <si>
    <t>61통</t>
  </si>
  <si>
    <t>62통</t>
  </si>
  <si>
    <t>47통</t>
  </si>
  <si>
    <t>48통</t>
  </si>
  <si>
    <t>성환1리</t>
  </si>
  <si>
    <t>성환2리</t>
  </si>
  <si>
    <t>성환3리</t>
  </si>
  <si>
    <t>성환4리</t>
  </si>
  <si>
    <t>성환5리</t>
  </si>
  <si>
    <t>성환6리</t>
  </si>
  <si>
    <t>성환7리</t>
  </si>
  <si>
    <t>성환8리</t>
  </si>
  <si>
    <t>성환9리</t>
  </si>
  <si>
    <t>성환10리</t>
  </si>
  <si>
    <t>성환11리</t>
  </si>
  <si>
    <t>성월1리</t>
  </si>
  <si>
    <t>성월2리</t>
  </si>
  <si>
    <t>성월3리</t>
  </si>
  <si>
    <t>성월4리</t>
  </si>
  <si>
    <t>매주1리</t>
  </si>
  <si>
    <t>매주2리</t>
  </si>
  <si>
    <t>매주3리</t>
  </si>
  <si>
    <t>매주4리</t>
  </si>
  <si>
    <t>매주5리</t>
  </si>
  <si>
    <t>매주6리</t>
  </si>
  <si>
    <t>매주7리</t>
  </si>
  <si>
    <t>매주8리</t>
  </si>
  <si>
    <t>매주9리</t>
  </si>
  <si>
    <t>매주10리</t>
  </si>
  <si>
    <t>매주11리</t>
  </si>
  <si>
    <t>매주12리</t>
  </si>
  <si>
    <t>율금1리</t>
  </si>
  <si>
    <t>율금2리</t>
  </si>
  <si>
    <t>율금3리</t>
  </si>
  <si>
    <t>율금4리</t>
  </si>
  <si>
    <t>율금5리</t>
  </si>
  <si>
    <t>율금6리</t>
  </si>
  <si>
    <t>율금7리</t>
  </si>
  <si>
    <t>왕림1리</t>
  </si>
  <si>
    <t>왕림2리</t>
  </si>
  <si>
    <t>왕림3리</t>
  </si>
  <si>
    <t>왕림4리</t>
  </si>
  <si>
    <t>신방1리</t>
  </si>
  <si>
    <t>신방2리</t>
  </si>
  <si>
    <t>송덕1리</t>
  </si>
  <si>
    <t>송덕2리</t>
  </si>
  <si>
    <t>우신1리</t>
  </si>
  <si>
    <t>우신2리</t>
  </si>
  <si>
    <t>신가1리</t>
  </si>
  <si>
    <t>신가2리</t>
  </si>
  <si>
    <t>와룡1리</t>
  </si>
  <si>
    <t>와룡2리</t>
  </si>
  <si>
    <t>와룡3리</t>
  </si>
  <si>
    <t>대홍1리</t>
  </si>
  <si>
    <t>대홍2리</t>
  </si>
  <si>
    <t>대홍3리</t>
  </si>
  <si>
    <t>대홍4리</t>
  </si>
  <si>
    <t>대홍5리</t>
  </si>
  <si>
    <t>수향1리</t>
  </si>
  <si>
    <t>수향2리</t>
  </si>
  <si>
    <t>수향3리</t>
  </si>
  <si>
    <t>수향4리</t>
  </si>
  <si>
    <t>안궁1리</t>
  </si>
  <si>
    <t>안궁2리</t>
  </si>
  <si>
    <t>안궁3리</t>
  </si>
  <si>
    <t>안궁4리</t>
  </si>
  <si>
    <t>안궁5리</t>
  </si>
  <si>
    <t>양령1리</t>
  </si>
  <si>
    <t>양령2리</t>
  </si>
  <si>
    <t>양령3리</t>
  </si>
  <si>
    <t>도하1리</t>
  </si>
  <si>
    <t>도하2리</t>
  </si>
  <si>
    <t>도하3리</t>
  </si>
  <si>
    <t>63통</t>
  </si>
  <si>
    <t>64통</t>
  </si>
  <si>
    <t>풍세면</t>
  </si>
  <si>
    <t>성  환  리</t>
  </si>
  <si>
    <t>성  월  리</t>
  </si>
  <si>
    <t>매  주  리</t>
  </si>
  <si>
    <t>율  금  리</t>
  </si>
  <si>
    <t>왕  림  리</t>
  </si>
  <si>
    <t>신  방  리</t>
  </si>
  <si>
    <t>송  덕  리</t>
  </si>
  <si>
    <t>우  신  리</t>
  </si>
  <si>
    <t>어  룡  리</t>
  </si>
  <si>
    <t>복  모  리</t>
  </si>
  <si>
    <t>신  가  리</t>
  </si>
  <si>
    <t>와  룡  리</t>
  </si>
  <si>
    <t>대  홍  리</t>
  </si>
  <si>
    <t>수  향  리</t>
  </si>
  <si>
    <t>안  궁  리</t>
  </si>
  <si>
    <t>양  령  리</t>
  </si>
  <si>
    <t>도  하  리</t>
  </si>
  <si>
    <t>군  동  리</t>
  </si>
  <si>
    <t>군  서  리</t>
  </si>
  <si>
    <t>남  산  리</t>
  </si>
  <si>
    <t>판  정  리</t>
  </si>
  <si>
    <t>수  헐  리</t>
  </si>
  <si>
    <t>삼  은  리</t>
  </si>
  <si>
    <t>상  덕  리</t>
  </si>
  <si>
    <t>부  송  리</t>
  </si>
  <si>
    <t>모  시  리</t>
  </si>
  <si>
    <t>양  당  리</t>
  </si>
  <si>
    <t>신  갈  리</t>
  </si>
  <si>
    <t>마  정  리</t>
  </si>
  <si>
    <t>석  곡  리</t>
  </si>
  <si>
    <t>65통</t>
    <phoneticPr fontId="3" type="noConversion"/>
  </si>
  <si>
    <t>66통</t>
    <phoneticPr fontId="3" type="noConversion"/>
  </si>
  <si>
    <t>행정통(리)</t>
    <phoneticPr fontId="3" type="noConversion"/>
  </si>
  <si>
    <t>법정동(리)인구현황</t>
    <phoneticPr fontId="3" type="noConversion"/>
  </si>
  <si>
    <t>서      리</t>
  </si>
  <si>
    <t>동      리</t>
  </si>
  <si>
    <t>교  촌  리</t>
  </si>
  <si>
    <t>서  흥  리</t>
  </si>
  <si>
    <t>덕  전  리</t>
  </si>
  <si>
    <t>송  전  리</t>
  </si>
  <si>
    <t>석  천  리</t>
  </si>
  <si>
    <t>동  평  리</t>
  </si>
  <si>
    <t>운  전  리</t>
  </si>
  <si>
    <t>지  산  리</t>
  </si>
  <si>
    <t>교  천  리</t>
  </si>
  <si>
    <t>신  계  리</t>
  </si>
  <si>
    <t>천  정  리</t>
  </si>
  <si>
    <t>응  원  리</t>
  </si>
  <si>
    <t>삼  성  리</t>
  </si>
  <si>
    <t>도  장  리</t>
  </si>
  <si>
    <t>소  사  리</t>
  </si>
  <si>
    <t>교천1리</t>
  </si>
  <si>
    <t>교천2리</t>
  </si>
  <si>
    <t>도장3리</t>
  </si>
  <si>
    <t>삼성7리</t>
  </si>
  <si>
    <t>삼성8리</t>
  </si>
  <si>
    <t>천정2리</t>
  </si>
  <si>
    <t>천정3리</t>
  </si>
  <si>
    <t xml:space="preserve"> </t>
  </si>
  <si>
    <t>세 대 수</t>
  </si>
  <si>
    <t>인     구     수</t>
  </si>
  <si>
    <t>비   고</t>
  </si>
  <si>
    <t>31 개소</t>
  </si>
  <si>
    <t>합      계</t>
  </si>
  <si>
    <t>동남구</t>
  </si>
  <si>
    <t>소      계</t>
  </si>
  <si>
    <t>목천읍</t>
  </si>
  <si>
    <t>용정4리</t>
  </si>
  <si>
    <t>광덕면</t>
  </si>
  <si>
    <t>보산원1리</t>
  </si>
  <si>
    <t>보산원2리</t>
  </si>
  <si>
    <t>보산원3리</t>
  </si>
  <si>
    <t>보산원4리</t>
  </si>
  <si>
    <t>북  면</t>
  </si>
  <si>
    <t>명 덕 리</t>
  </si>
  <si>
    <t>양 곡 리</t>
  </si>
  <si>
    <t>운 용 리</t>
  </si>
  <si>
    <t>전 곡 리</t>
  </si>
  <si>
    <t>성남면</t>
  </si>
  <si>
    <t>수신면</t>
  </si>
  <si>
    <t>병천면</t>
  </si>
  <si>
    <t>동  면</t>
  </si>
  <si>
    <t>행 암 리</t>
  </si>
  <si>
    <t>중앙동</t>
  </si>
  <si>
    <t>문성동</t>
  </si>
  <si>
    <t>원성1동</t>
  </si>
  <si>
    <t>원성2동</t>
  </si>
  <si>
    <t>봉명동</t>
  </si>
  <si>
    <t>일봉동</t>
  </si>
  <si>
    <t>신방동</t>
  </si>
  <si>
    <t>청룡동</t>
  </si>
  <si>
    <t>64통</t>
    <phoneticPr fontId="3" type="noConversion"/>
  </si>
  <si>
    <t>신안동</t>
  </si>
  <si>
    <t>서북구</t>
  </si>
  <si>
    <t>성환읍</t>
  </si>
  <si>
    <t>성월5리</t>
  </si>
  <si>
    <t>성거읍</t>
  </si>
  <si>
    <t>오색당리</t>
  </si>
  <si>
    <t>삼 곡 리</t>
  </si>
  <si>
    <t>정 촌 리</t>
  </si>
  <si>
    <t>직산읍</t>
  </si>
  <si>
    <t>석 곡 리</t>
  </si>
  <si>
    <t>신 갈 리</t>
  </si>
  <si>
    <t>입장면</t>
  </si>
  <si>
    <t>상 장 리</t>
  </si>
  <si>
    <t>양 대 리</t>
  </si>
  <si>
    <t>흑 암 리</t>
  </si>
  <si>
    <t>성정1동</t>
  </si>
  <si>
    <t>성정2동</t>
  </si>
  <si>
    <t>쌍용1동</t>
  </si>
  <si>
    <t>쌍용2동</t>
  </si>
  <si>
    <t>쌍용3동</t>
  </si>
  <si>
    <t>백석동</t>
  </si>
  <si>
    <t>불당1동</t>
  </si>
  <si>
    <t>불당2동</t>
  </si>
  <si>
    <t>부성1동</t>
  </si>
  <si>
    <t>부성2동</t>
  </si>
  <si>
    <t>65통</t>
  </si>
  <si>
    <t>66통</t>
  </si>
  <si>
    <t>67통</t>
  </si>
  <si>
    <t>※ 외국인(   ) 제외</t>
  </si>
  <si>
    <t>행  정  동</t>
  </si>
  <si>
    <t>법정동(리)</t>
  </si>
  <si>
    <t>가  송  리</t>
  </si>
  <si>
    <t>남  관  리</t>
  </si>
  <si>
    <t>두  남  리</t>
  </si>
  <si>
    <t>미  죽  리</t>
  </si>
  <si>
    <t>보  성  리</t>
  </si>
  <si>
    <t>삼  태  리</t>
  </si>
  <si>
    <t>용  정  리</t>
  </si>
  <si>
    <t>풍  서  리</t>
  </si>
  <si>
    <t>광  덕  리</t>
  </si>
  <si>
    <t>지  장  리</t>
  </si>
  <si>
    <t>보산  원리</t>
  </si>
  <si>
    <t>대  덕  리</t>
  </si>
  <si>
    <t>매  당  리</t>
  </si>
  <si>
    <t>신  흥  리</t>
  </si>
  <si>
    <t>무  학  리</t>
  </si>
  <si>
    <t>신  덕  리</t>
  </si>
  <si>
    <t>행  정  리</t>
  </si>
  <si>
    <t>대  평  리</t>
  </si>
  <si>
    <t>원  덕  리</t>
  </si>
  <si>
    <t>연  춘  리</t>
  </si>
  <si>
    <t>상  동  리</t>
  </si>
  <si>
    <t>은  지  리</t>
  </si>
  <si>
    <t>용  암  리</t>
  </si>
  <si>
    <t>매  송  리</t>
  </si>
  <si>
    <t>명  덕  리</t>
  </si>
  <si>
    <t>오  곡  리</t>
  </si>
  <si>
    <t>사  담  리</t>
  </si>
  <si>
    <t>전  곡  리</t>
  </si>
  <si>
    <t>양  곡  리</t>
  </si>
  <si>
    <t>납  안  리</t>
  </si>
  <si>
    <t>운  용  리</t>
  </si>
  <si>
    <t>봉  양  리</t>
  </si>
  <si>
    <t>대  흥  리</t>
  </si>
  <si>
    <t>대  정  리</t>
  </si>
  <si>
    <t>용  원  리</t>
  </si>
  <si>
    <t>신  사  리</t>
  </si>
  <si>
    <t>대  화  리</t>
  </si>
  <si>
    <t>화  성  리</t>
  </si>
  <si>
    <t>속  창  리</t>
  </si>
  <si>
    <t>신  풍  리</t>
  </si>
  <si>
    <t>해  정  리</t>
  </si>
  <si>
    <t>백  자  리</t>
  </si>
  <si>
    <t>발  산  리</t>
  </si>
  <si>
    <t>장  산  리</t>
  </si>
  <si>
    <t>가  전  리</t>
  </si>
  <si>
    <t>병  천  리</t>
  </si>
  <si>
    <t>탑  원  리</t>
  </si>
  <si>
    <t>도  원  리</t>
  </si>
  <si>
    <t>매  성  리</t>
  </si>
  <si>
    <t>관  성  리</t>
  </si>
  <si>
    <t>봉  항  리</t>
  </si>
  <si>
    <t>용  두  리</t>
  </si>
  <si>
    <t>송  정  리</t>
  </si>
  <si>
    <t>동면</t>
  </si>
  <si>
    <t>구  도  리</t>
  </si>
  <si>
    <t>송  연  리</t>
  </si>
  <si>
    <t>화  계  리</t>
  </si>
  <si>
    <t>동  산  리</t>
  </si>
  <si>
    <t>행  암  리</t>
  </si>
  <si>
    <t>덕  성  리</t>
  </si>
  <si>
    <t>죽  계  리</t>
  </si>
  <si>
    <t>장  송  리</t>
  </si>
  <si>
    <t>수  남  리</t>
  </si>
  <si>
    <t>화  덕  리</t>
  </si>
  <si>
    <t>대  흥  동</t>
  </si>
  <si>
    <t>사  직  동</t>
  </si>
  <si>
    <t>영  성  동</t>
  </si>
  <si>
    <t>오  룡  동</t>
  </si>
  <si>
    <t>성  황  동</t>
  </si>
  <si>
    <t>문  화  동</t>
  </si>
  <si>
    <t>원  성  동</t>
  </si>
  <si>
    <t>유  량  동</t>
  </si>
  <si>
    <t>봉  명  동</t>
  </si>
  <si>
    <t>쌍  용  동</t>
  </si>
  <si>
    <t>다  가  동</t>
  </si>
  <si>
    <t>용  곡  동</t>
  </si>
  <si>
    <t>신  방  동</t>
  </si>
  <si>
    <t>구  성  동</t>
  </si>
  <si>
    <t>청  수  동</t>
  </si>
  <si>
    <t>삼  룡  동</t>
  </si>
  <si>
    <t>청  당  동</t>
  </si>
  <si>
    <t>구  룡  동</t>
  </si>
  <si>
    <t>신  부  동</t>
  </si>
  <si>
    <t>안  서  동</t>
  </si>
  <si>
    <t>송  남  리</t>
  </si>
  <si>
    <t>천  흥  리</t>
  </si>
  <si>
    <t>오  목  리</t>
  </si>
  <si>
    <t>저      리</t>
  </si>
  <si>
    <t>모  전  리</t>
  </si>
  <si>
    <t>삼  곡  리</t>
  </si>
  <si>
    <t>정  촌  리</t>
  </si>
  <si>
    <t>문  덕  리</t>
  </si>
  <si>
    <t>석  교  리</t>
  </si>
  <si>
    <t>요  방  리</t>
  </si>
  <si>
    <t>소  우  리</t>
  </si>
  <si>
    <t>신  월  리</t>
  </si>
  <si>
    <t>하  장  리</t>
  </si>
  <si>
    <t>상  장  리</t>
  </si>
  <si>
    <t>기  로  리</t>
  </si>
  <si>
    <t>도  림  리</t>
  </si>
  <si>
    <t>양  대  리</t>
  </si>
  <si>
    <t>홍  천  리</t>
  </si>
  <si>
    <t>호  당  리</t>
  </si>
  <si>
    <t>시  장  리</t>
  </si>
  <si>
    <t>효  계  리</t>
  </si>
  <si>
    <t>신  두  리</t>
  </si>
  <si>
    <t>흑  암  리</t>
  </si>
  <si>
    <t>산  정  리</t>
  </si>
  <si>
    <t>연  곡  리</t>
  </si>
  <si>
    <t>가  산  리</t>
  </si>
  <si>
    <t>유      리</t>
  </si>
  <si>
    <t>독  정  리</t>
  </si>
  <si>
    <t>와  촌  동</t>
  </si>
  <si>
    <t>성  정  동</t>
  </si>
  <si>
    <t>백  석  동</t>
  </si>
  <si>
    <t>불  당  동</t>
  </si>
  <si>
    <t>두  정  동</t>
  </si>
  <si>
    <t>업  성  동</t>
  </si>
  <si>
    <t>신  당  동</t>
  </si>
  <si>
    <t>부  대  동</t>
  </si>
  <si>
    <t>성  성  동</t>
  </si>
  <si>
    <t>차  암  동</t>
  </si>
  <si>
    <t>행정통(리)인구현황</t>
  </si>
  <si>
    <t>63통</t>
    <phoneticPr fontId="3" type="noConversion"/>
  </si>
  <si>
    <t>67통</t>
    <phoneticPr fontId="3" type="noConversion"/>
  </si>
  <si>
    <t>60통</t>
    <phoneticPr fontId="3" type="noConversion"/>
  </si>
  <si>
    <t>61통</t>
    <phoneticPr fontId="3" type="noConversion"/>
  </si>
  <si>
    <t>59통</t>
    <phoneticPr fontId="3" type="noConversion"/>
  </si>
  <si>
    <t>보성3리</t>
    <phoneticPr fontId="3" type="noConversion"/>
  </si>
  <si>
    <t>보성4리</t>
  </si>
  <si>
    <t>보성5리</t>
  </si>
  <si>
    <t>보성6리</t>
  </si>
  <si>
    <t>보성7리</t>
  </si>
  <si>
    <t>보성8리</t>
  </si>
  <si>
    <t>광덕1리</t>
  </si>
  <si>
    <t>광덕2리</t>
  </si>
  <si>
    <t>광덕3리</t>
  </si>
  <si>
    <t>광덕4리</t>
  </si>
  <si>
    <t>광덕5리</t>
  </si>
  <si>
    <t>지장1리</t>
  </si>
  <si>
    <t>지장2리</t>
  </si>
  <si>
    <t>지장3리</t>
  </si>
  <si>
    <t>대덕1리</t>
  </si>
  <si>
    <t>대덕2리</t>
  </si>
  <si>
    <t>매당1리</t>
  </si>
  <si>
    <t>매당2리</t>
  </si>
  <si>
    <t>매당3리</t>
  </si>
  <si>
    <t>매당4리</t>
  </si>
  <si>
    <t>매당5리</t>
  </si>
  <si>
    <t>신흥1리</t>
  </si>
  <si>
    <t>신흥2리</t>
  </si>
  <si>
    <t>신흥3리</t>
  </si>
  <si>
    <t>신흥4리</t>
  </si>
  <si>
    <t>신흥5리</t>
  </si>
  <si>
    <t>무학1리</t>
  </si>
  <si>
    <t>무학2리</t>
  </si>
  <si>
    <t>행정1리</t>
  </si>
  <si>
    <t>행정2리</t>
  </si>
  <si>
    <t>대평1리</t>
  </si>
  <si>
    <t>대평2리</t>
  </si>
  <si>
    <t>원덕1리</t>
  </si>
  <si>
    <t>원덕2리</t>
  </si>
  <si>
    <t>44통</t>
    <phoneticPr fontId="3" type="noConversion"/>
  </si>
  <si>
    <t>45통</t>
    <phoneticPr fontId="3" type="noConversion"/>
  </si>
  <si>
    <t>37통</t>
    <phoneticPr fontId="3" type="noConversion"/>
  </si>
  <si>
    <t>38통</t>
    <phoneticPr fontId="3" type="noConversion"/>
  </si>
  <si>
    <t>39통</t>
    <phoneticPr fontId="3" type="noConversion"/>
  </si>
  <si>
    <t>68통</t>
  </si>
  <si>
    <t>69통</t>
  </si>
  <si>
    <t>70통</t>
  </si>
  <si>
    <t>71통</t>
    <phoneticPr fontId="3" type="noConversion"/>
  </si>
  <si>
    <t>72통</t>
    <phoneticPr fontId="3" type="noConversion"/>
  </si>
  <si>
    <t>73통</t>
    <phoneticPr fontId="3" type="noConversion"/>
  </si>
  <si>
    <t>74통</t>
    <phoneticPr fontId="3" type="noConversion"/>
  </si>
  <si>
    <t>남  화  리</t>
    <phoneticPr fontId="3" type="noConversion"/>
  </si>
  <si>
    <t>70통</t>
    <phoneticPr fontId="3" type="noConversion"/>
  </si>
  <si>
    <t>72통</t>
  </si>
  <si>
    <t>원덕3리</t>
    <phoneticPr fontId="3" type="noConversion"/>
  </si>
  <si>
    <t>36통</t>
    <phoneticPr fontId="3" type="noConversion"/>
  </si>
  <si>
    <t>납안1리</t>
    <phoneticPr fontId="3" type="noConversion"/>
  </si>
  <si>
    <t>납안2리</t>
    <phoneticPr fontId="3" type="noConversion"/>
  </si>
  <si>
    <t>대평1리</t>
    <phoneticPr fontId="3" type="noConversion"/>
  </si>
  <si>
    <t>대평2리</t>
    <phoneticPr fontId="3" type="noConversion"/>
  </si>
  <si>
    <t>매송1리</t>
    <phoneticPr fontId="3" type="noConversion"/>
  </si>
  <si>
    <t>매송2리</t>
    <phoneticPr fontId="3" type="noConversion"/>
  </si>
  <si>
    <t>사담1리</t>
    <phoneticPr fontId="3" type="noConversion"/>
  </si>
  <si>
    <t>사담2리</t>
    <phoneticPr fontId="3" type="noConversion"/>
  </si>
  <si>
    <t>상동1리</t>
    <phoneticPr fontId="3" type="noConversion"/>
  </si>
  <si>
    <t>상동2리</t>
    <phoneticPr fontId="3" type="noConversion"/>
  </si>
  <si>
    <t>상동3리</t>
    <phoneticPr fontId="3" type="noConversion"/>
  </si>
  <si>
    <t>상동4리</t>
    <phoneticPr fontId="3" type="noConversion"/>
  </si>
  <si>
    <t>상동5리</t>
    <phoneticPr fontId="3" type="noConversion"/>
  </si>
  <si>
    <t>연춘1리</t>
    <phoneticPr fontId="3" type="noConversion"/>
  </si>
  <si>
    <t>연춘2리</t>
    <phoneticPr fontId="3" type="noConversion"/>
  </si>
  <si>
    <t>연춘3리</t>
    <phoneticPr fontId="3" type="noConversion"/>
  </si>
  <si>
    <t>오곡1리</t>
    <phoneticPr fontId="3" type="noConversion"/>
  </si>
  <si>
    <t>오곡2리</t>
    <phoneticPr fontId="3" type="noConversion"/>
  </si>
  <si>
    <t>용암1리</t>
    <phoneticPr fontId="3" type="noConversion"/>
  </si>
  <si>
    <t>용암2리</t>
    <phoneticPr fontId="3" type="noConversion"/>
  </si>
  <si>
    <t>은지1리</t>
    <phoneticPr fontId="3" type="noConversion"/>
  </si>
  <si>
    <t>은지2리</t>
    <phoneticPr fontId="3" type="noConversion"/>
  </si>
  <si>
    <t>은지3리</t>
    <phoneticPr fontId="3" type="noConversion"/>
  </si>
  <si>
    <t>대정1리</t>
    <phoneticPr fontId="3" type="noConversion"/>
  </si>
  <si>
    <t>대정2리</t>
    <phoneticPr fontId="3" type="noConversion"/>
  </si>
  <si>
    <t>대화1리</t>
    <phoneticPr fontId="3" type="noConversion"/>
  </si>
  <si>
    <t>대화2리</t>
    <phoneticPr fontId="3" type="noConversion"/>
  </si>
  <si>
    <t>대흥1리</t>
    <phoneticPr fontId="3" type="noConversion"/>
  </si>
  <si>
    <t>대흥2리</t>
    <phoneticPr fontId="3" type="noConversion"/>
  </si>
  <si>
    <t>봉양1리</t>
    <phoneticPr fontId="3" type="noConversion"/>
  </si>
  <si>
    <t>봉양2리</t>
    <phoneticPr fontId="3" type="noConversion"/>
  </si>
  <si>
    <t>봉양3리</t>
    <phoneticPr fontId="3" type="noConversion"/>
  </si>
  <si>
    <t>봉양4리</t>
    <phoneticPr fontId="3" type="noConversion"/>
  </si>
  <si>
    <t>석곡1리</t>
    <phoneticPr fontId="3" type="noConversion"/>
  </si>
  <si>
    <t>석곡2리</t>
    <phoneticPr fontId="3" type="noConversion"/>
  </si>
  <si>
    <t>석곡3리</t>
    <phoneticPr fontId="3" type="noConversion"/>
  </si>
  <si>
    <t>석곡4리</t>
    <phoneticPr fontId="3" type="noConversion"/>
  </si>
  <si>
    <t>신덕1리</t>
    <phoneticPr fontId="3" type="noConversion"/>
  </si>
  <si>
    <t>신덕2리</t>
    <phoneticPr fontId="3" type="noConversion"/>
  </si>
  <si>
    <t>신덕3리</t>
    <phoneticPr fontId="3" type="noConversion"/>
  </si>
  <si>
    <t>신덕4리</t>
    <phoneticPr fontId="3" type="noConversion"/>
  </si>
  <si>
    <t>신사1리</t>
    <phoneticPr fontId="3" type="noConversion"/>
  </si>
  <si>
    <t>신사2리</t>
    <phoneticPr fontId="3" type="noConversion"/>
  </si>
  <si>
    <t>신사3리</t>
    <phoneticPr fontId="3" type="noConversion"/>
  </si>
  <si>
    <t>용원1리</t>
    <phoneticPr fontId="3" type="noConversion"/>
  </si>
  <si>
    <t>용원2리</t>
    <phoneticPr fontId="3" type="noConversion"/>
  </si>
  <si>
    <t>용원3리</t>
    <phoneticPr fontId="3" type="noConversion"/>
  </si>
  <si>
    <t>용원4리</t>
    <phoneticPr fontId="3" type="noConversion"/>
  </si>
  <si>
    <t>용원5리</t>
    <phoneticPr fontId="3" type="noConversion"/>
  </si>
  <si>
    <t>화성1리</t>
    <phoneticPr fontId="3" type="noConversion"/>
  </si>
  <si>
    <t>화성2리</t>
    <phoneticPr fontId="3" type="noConversion"/>
  </si>
  <si>
    <t>화성3리</t>
    <phoneticPr fontId="3" type="noConversion"/>
  </si>
  <si>
    <t>속창1리</t>
    <phoneticPr fontId="3" type="noConversion"/>
  </si>
  <si>
    <t>속창2리</t>
    <phoneticPr fontId="3" type="noConversion"/>
  </si>
  <si>
    <t>신풍1리</t>
    <phoneticPr fontId="3" type="noConversion"/>
  </si>
  <si>
    <t>신풍2리</t>
    <phoneticPr fontId="3" type="noConversion"/>
  </si>
  <si>
    <t>신풍3리</t>
    <phoneticPr fontId="3" type="noConversion"/>
  </si>
  <si>
    <t>해정1리</t>
    <phoneticPr fontId="3" type="noConversion"/>
  </si>
  <si>
    <t>해정2리</t>
    <phoneticPr fontId="3" type="noConversion"/>
  </si>
  <si>
    <t>해정3리</t>
    <phoneticPr fontId="3" type="noConversion"/>
  </si>
  <si>
    <t>백자1리</t>
    <phoneticPr fontId="3" type="noConversion"/>
  </si>
  <si>
    <t>백자2리</t>
    <phoneticPr fontId="3" type="noConversion"/>
  </si>
  <si>
    <t>백자3리</t>
    <phoneticPr fontId="3" type="noConversion"/>
  </si>
  <si>
    <t>백자4리</t>
    <phoneticPr fontId="3" type="noConversion"/>
  </si>
  <si>
    <t>발산1리</t>
    <phoneticPr fontId="3" type="noConversion"/>
  </si>
  <si>
    <t>발산2리</t>
    <phoneticPr fontId="3" type="noConversion"/>
  </si>
  <si>
    <t>장산1리</t>
    <phoneticPr fontId="3" type="noConversion"/>
  </si>
  <si>
    <t>장산2리</t>
    <phoneticPr fontId="3" type="noConversion"/>
  </si>
  <si>
    <t>장산3리</t>
    <phoneticPr fontId="3" type="noConversion"/>
  </si>
  <si>
    <t>장산4리</t>
    <phoneticPr fontId="3" type="noConversion"/>
  </si>
  <si>
    <t>장산5리</t>
    <phoneticPr fontId="3" type="noConversion"/>
  </si>
  <si>
    <t>가전1리</t>
    <phoneticPr fontId="3" type="noConversion"/>
  </si>
  <si>
    <t>가전2리</t>
    <phoneticPr fontId="3" type="noConversion"/>
  </si>
  <si>
    <t>가전3리</t>
    <phoneticPr fontId="3" type="noConversion"/>
  </si>
  <si>
    <t>가전4리</t>
    <phoneticPr fontId="3" type="noConversion"/>
  </si>
  <si>
    <t>가전5리</t>
    <phoneticPr fontId="3" type="noConversion"/>
  </si>
  <si>
    <t>가전6리</t>
    <phoneticPr fontId="3" type="noConversion"/>
  </si>
  <si>
    <t>병천1리</t>
    <phoneticPr fontId="3" type="noConversion"/>
  </si>
  <si>
    <t>병천2리</t>
    <phoneticPr fontId="3" type="noConversion"/>
  </si>
  <si>
    <t>병천3리</t>
    <phoneticPr fontId="3" type="noConversion"/>
  </si>
  <si>
    <t>병천4리</t>
    <phoneticPr fontId="3" type="noConversion"/>
  </si>
  <si>
    <t>병천5리</t>
    <phoneticPr fontId="3" type="noConversion"/>
  </si>
  <si>
    <t>병천6리</t>
    <phoneticPr fontId="3" type="noConversion"/>
  </si>
  <si>
    <t>병천7리</t>
    <phoneticPr fontId="3" type="noConversion"/>
  </si>
  <si>
    <t>병천8리</t>
    <phoneticPr fontId="3" type="noConversion"/>
  </si>
  <si>
    <t>병천9리</t>
    <phoneticPr fontId="3" type="noConversion"/>
  </si>
  <si>
    <t>탑원1리</t>
    <phoneticPr fontId="3" type="noConversion"/>
  </si>
  <si>
    <t>탑원2리</t>
    <phoneticPr fontId="3" type="noConversion"/>
  </si>
  <si>
    <t>탑원3리</t>
    <phoneticPr fontId="3" type="noConversion"/>
  </si>
  <si>
    <t>탑원4리</t>
    <phoneticPr fontId="3" type="noConversion"/>
  </si>
  <si>
    <t>탑원5리</t>
    <phoneticPr fontId="3" type="noConversion"/>
  </si>
  <si>
    <t>도원1리</t>
    <phoneticPr fontId="3" type="noConversion"/>
  </si>
  <si>
    <t>도원2리</t>
    <phoneticPr fontId="3" type="noConversion"/>
  </si>
  <si>
    <t>도원3리</t>
    <phoneticPr fontId="3" type="noConversion"/>
  </si>
  <si>
    <t>도원4리</t>
    <phoneticPr fontId="3" type="noConversion"/>
  </si>
  <si>
    <t>매성1리</t>
    <phoneticPr fontId="3" type="noConversion"/>
  </si>
  <si>
    <t>매성2리</t>
    <phoneticPr fontId="3" type="noConversion"/>
  </si>
  <si>
    <t>매성3리</t>
    <phoneticPr fontId="3" type="noConversion"/>
  </si>
  <si>
    <t>관성1리</t>
    <phoneticPr fontId="3" type="noConversion"/>
  </si>
  <si>
    <t>관성2리</t>
    <phoneticPr fontId="3" type="noConversion"/>
  </si>
  <si>
    <t>관성3리</t>
    <phoneticPr fontId="3" type="noConversion"/>
  </si>
  <si>
    <t>관성4리</t>
    <phoneticPr fontId="3" type="noConversion"/>
  </si>
  <si>
    <t>봉항1리</t>
    <phoneticPr fontId="3" type="noConversion"/>
  </si>
  <si>
    <t>봉항2리</t>
    <phoneticPr fontId="3" type="noConversion"/>
  </si>
  <si>
    <t>봉항3리</t>
    <phoneticPr fontId="3" type="noConversion"/>
  </si>
  <si>
    <t>용두1리</t>
    <phoneticPr fontId="3" type="noConversion"/>
  </si>
  <si>
    <t>용두2리</t>
    <phoneticPr fontId="3" type="noConversion"/>
  </si>
  <si>
    <t>용두3리</t>
    <phoneticPr fontId="3" type="noConversion"/>
  </si>
  <si>
    <t>송정1리</t>
    <phoneticPr fontId="3" type="noConversion"/>
  </si>
  <si>
    <t>송정2리</t>
    <phoneticPr fontId="3" type="noConversion"/>
  </si>
  <si>
    <t>송정3리</t>
    <phoneticPr fontId="3" type="noConversion"/>
  </si>
  <si>
    <t>광덕1리</t>
    <phoneticPr fontId="3" type="noConversion"/>
  </si>
  <si>
    <t>광덕2리</t>
    <phoneticPr fontId="3" type="noConversion"/>
  </si>
  <si>
    <t>구도1리</t>
    <phoneticPr fontId="3" type="noConversion"/>
  </si>
  <si>
    <t>구도2리</t>
    <phoneticPr fontId="3" type="noConversion"/>
  </si>
  <si>
    <t>덕성1리</t>
    <phoneticPr fontId="3" type="noConversion"/>
  </si>
  <si>
    <t>덕성2리</t>
    <phoneticPr fontId="3" type="noConversion"/>
  </si>
  <si>
    <t>동산1리</t>
    <phoneticPr fontId="3" type="noConversion"/>
  </si>
  <si>
    <t>동산2리</t>
    <phoneticPr fontId="3" type="noConversion"/>
  </si>
  <si>
    <t>동산3리</t>
    <phoneticPr fontId="3" type="noConversion"/>
  </si>
  <si>
    <t>송연1리</t>
    <phoneticPr fontId="3" type="noConversion"/>
  </si>
  <si>
    <t>송연2리</t>
    <phoneticPr fontId="3" type="noConversion"/>
  </si>
  <si>
    <t>송연3리</t>
    <phoneticPr fontId="3" type="noConversion"/>
  </si>
  <si>
    <t>수남1리</t>
    <phoneticPr fontId="3" type="noConversion"/>
  </si>
  <si>
    <t>수남2리</t>
    <phoneticPr fontId="3" type="noConversion"/>
  </si>
  <si>
    <t>장송1리</t>
    <phoneticPr fontId="3" type="noConversion"/>
  </si>
  <si>
    <t>장송2리</t>
    <phoneticPr fontId="3" type="noConversion"/>
  </si>
  <si>
    <t>죽계1리</t>
    <phoneticPr fontId="3" type="noConversion"/>
  </si>
  <si>
    <t>죽계2리</t>
    <phoneticPr fontId="3" type="noConversion"/>
  </si>
  <si>
    <t>화계1리</t>
    <phoneticPr fontId="3" type="noConversion"/>
  </si>
  <si>
    <t>화계2리</t>
    <phoneticPr fontId="3" type="noConversion"/>
  </si>
  <si>
    <t>화덕1리</t>
    <phoneticPr fontId="3" type="noConversion"/>
  </si>
  <si>
    <t>화덕2리</t>
    <phoneticPr fontId="3" type="noConversion"/>
  </si>
  <si>
    <t>화덕3리</t>
    <phoneticPr fontId="3" type="noConversion"/>
  </si>
  <si>
    <t>신월1리</t>
    <phoneticPr fontId="3" type="noConversion"/>
  </si>
  <si>
    <t>신월2리</t>
    <phoneticPr fontId="3" type="noConversion"/>
  </si>
  <si>
    <t>신월3리</t>
    <phoneticPr fontId="3" type="noConversion"/>
  </si>
  <si>
    <t>신월4리</t>
    <phoneticPr fontId="3" type="noConversion"/>
  </si>
  <si>
    <t>신월5리</t>
    <phoneticPr fontId="3" type="noConversion"/>
  </si>
  <si>
    <t>신월6리</t>
    <phoneticPr fontId="3" type="noConversion"/>
  </si>
  <si>
    <t>신월7리</t>
    <phoneticPr fontId="3" type="noConversion"/>
  </si>
  <si>
    <t>신월8리</t>
    <phoneticPr fontId="3" type="noConversion"/>
  </si>
  <si>
    <t>천흥1리</t>
    <phoneticPr fontId="3" type="noConversion"/>
  </si>
  <si>
    <t>천흥2리</t>
    <phoneticPr fontId="3" type="noConversion"/>
  </si>
  <si>
    <t>천흥3리</t>
    <phoneticPr fontId="3" type="noConversion"/>
  </si>
  <si>
    <t>천흥4리</t>
    <phoneticPr fontId="3" type="noConversion"/>
  </si>
  <si>
    <t>천흥5리</t>
    <phoneticPr fontId="3" type="noConversion"/>
  </si>
  <si>
    <t>천흥6리</t>
    <phoneticPr fontId="3" type="noConversion"/>
  </si>
  <si>
    <t>송남1리</t>
    <phoneticPr fontId="3" type="noConversion"/>
  </si>
  <si>
    <t>송남2리</t>
    <phoneticPr fontId="3" type="noConversion"/>
  </si>
  <si>
    <t>송남3리</t>
    <phoneticPr fontId="3" type="noConversion"/>
  </si>
  <si>
    <t>송남4리</t>
    <phoneticPr fontId="3" type="noConversion"/>
  </si>
  <si>
    <t>송남5리</t>
    <phoneticPr fontId="3" type="noConversion"/>
  </si>
  <si>
    <t>오목1리</t>
    <phoneticPr fontId="3" type="noConversion"/>
  </si>
  <si>
    <t>오목2리</t>
    <phoneticPr fontId="3" type="noConversion"/>
  </si>
  <si>
    <t>모전1리</t>
    <phoneticPr fontId="3" type="noConversion"/>
  </si>
  <si>
    <t>모전2리</t>
    <phoneticPr fontId="3" type="noConversion"/>
  </si>
  <si>
    <t>문덕1리</t>
    <phoneticPr fontId="3" type="noConversion"/>
  </si>
  <si>
    <t>문덕2리</t>
    <phoneticPr fontId="3" type="noConversion"/>
  </si>
  <si>
    <t>문덕3리</t>
    <phoneticPr fontId="3" type="noConversion"/>
  </si>
  <si>
    <t>석교1리</t>
    <phoneticPr fontId="3" type="noConversion"/>
  </si>
  <si>
    <t>석교2리</t>
    <phoneticPr fontId="3" type="noConversion"/>
  </si>
  <si>
    <t>석교3리</t>
    <phoneticPr fontId="3" type="noConversion"/>
  </si>
  <si>
    <t>요방1리</t>
    <phoneticPr fontId="3" type="noConversion"/>
  </si>
  <si>
    <t>요방2리</t>
    <phoneticPr fontId="3" type="noConversion"/>
  </si>
  <si>
    <t>요방3리</t>
    <phoneticPr fontId="3" type="noConversion"/>
  </si>
  <si>
    <t>요방4리</t>
    <phoneticPr fontId="3" type="noConversion"/>
  </si>
  <si>
    <t>소우1리</t>
    <phoneticPr fontId="3" type="noConversion"/>
  </si>
  <si>
    <t>소우2리</t>
    <phoneticPr fontId="3" type="noConversion"/>
  </si>
  <si>
    <t>군동1리</t>
    <phoneticPr fontId="3" type="noConversion"/>
  </si>
  <si>
    <t>군동2리</t>
    <phoneticPr fontId="3" type="noConversion"/>
  </si>
  <si>
    <t>군동3리</t>
    <phoneticPr fontId="3" type="noConversion"/>
  </si>
  <si>
    <t>군동4리</t>
    <phoneticPr fontId="3" type="noConversion"/>
  </si>
  <si>
    <t>군서1리</t>
    <phoneticPr fontId="3" type="noConversion"/>
  </si>
  <si>
    <t>군서2리</t>
    <phoneticPr fontId="3" type="noConversion"/>
  </si>
  <si>
    <t>군서3리</t>
    <phoneticPr fontId="3" type="noConversion"/>
  </si>
  <si>
    <t>남산1리</t>
    <phoneticPr fontId="3" type="noConversion"/>
  </si>
  <si>
    <t>남산2리</t>
    <phoneticPr fontId="3" type="noConversion"/>
  </si>
  <si>
    <t>마정1리</t>
    <phoneticPr fontId="3" type="noConversion"/>
  </si>
  <si>
    <t>마정2리</t>
    <phoneticPr fontId="3" type="noConversion"/>
  </si>
  <si>
    <t>모시1리</t>
    <phoneticPr fontId="3" type="noConversion"/>
  </si>
  <si>
    <t>모시2리</t>
    <phoneticPr fontId="3" type="noConversion"/>
  </si>
  <si>
    <t>모시3리</t>
    <phoneticPr fontId="3" type="noConversion"/>
  </si>
  <si>
    <t>모시4리</t>
    <phoneticPr fontId="3" type="noConversion"/>
  </si>
  <si>
    <t>모시5리</t>
    <phoneticPr fontId="3" type="noConversion"/>
  </si>
  <si>
    <t>모시6리</t>
    <phoneticPr fontId="3" type="noConversion"/>
  </si>
  <si>
    <t>모시7리</t>
    <phoneticPr fontId="3" type="noConversion"/>
  </si>
  <si>
    <t>모시8리</t>
    <phoneticPr fontId="3" type="noConversion"/>
  </si>
  <si>
    <t>모시9리</t>
    <phoneticPr fontId="3" type="noConversion"/>
  </si>
  <si>
    <t>모시10리</t>
    <phoneticPr fontId="3" type="noConversion"/>
  </si>
  <si>
    <t>부송1리</t>
    <phoneticPr fontId="3" type="noConversion"/>
  </si>
  <si>
    <t>부송2리</t>
    <phoneticPr fontId="3" type="noConversion"/>
  </si>
  <si>
    <t>부송3리</t>
    <phoneticPr fontId="3" type="noConversion"/>
  </si>
  <si>
    <t>부송4리</t>
    <phoneticPr fontId="3" type="noConversion"/>
  </si>
  <si>
    <t>삼은1리</t>
    <phoneticPr fontId="3" type="noConversion"/>
  </si>
  <si>
    <t>삼은2리</t>
    <phoneticPr fontId="3" type="noConversion"/>
  </si>
  <si>
    <t>삼은3리</t>
    <phoneticPr fontId="3" type="noConversion"/>
  </si>
  <si>
    <t>삼은4리</t>
    <phoneticPr fontId="3" type="noConversion"/>
  </si>
  <si>
    <t>삼은5리</t>
    <phoneticPr fontId="3" type="noConversion"/>
  </si>
  <si>
    <t>삼은6리</t>
    <phoneticPr fontId="3" type="noConversion"/>
  </si>
  <si>
    <t>삼은7리</t>
    <phoneticPr fontId="3" type="noConversion"/>
  </si>
  <si>
    <t>삼은8리</t>
    <phoneticPr fontId="3" type="noConversion"/>
  </si>
  <si>
    <t>삼은9리</t>
    <phoneticPr fontId="3" type="noConversion"/>
  </si>
  <si>
    <t>삼은10리</t>
    <phoneticPr fontId="3" type="noConversion"/>
  </si>
  <si>
    <t>삼은11리</t>
    <phoneticPr fontId="3" type="noConversion"/>
  </si>
  <si>
    <t>삼은12리</t>
    <phoneticPr fontId="3" type="noConversion"/>
  </si>
  <si>
    <t>삼은13리</t>
    <phoneticPr fontId="3" type="noConversion"/>
  </si>
  <si>
    <t>삼은14리</t>
    <phoneticPr fontId="3" type="noConversion"/>
  </si>
  <si>
    <t>삼은15리</t>
    <phoneticPr fontId="3" type="noConversion"/>
  </si>
  <si>
    <t>삼은16리</t>
    <phoneticPr fontId="3" type="noConversion"/>
  </si>
  <si>
    <t>삼은17리</t>
    <phoneticPr fontId="3" type="noConversion"/>
  </si>
  <si>
    <t>삼은18리</t>
    <phoneticPr fontId="3" type="noConversion"/>
  </si>
  <si>
    <t>삼은19리</t>
    <phoneticPr fontId="3" type="noConversion"/>
  </si>
  <si>
    <t>상덕1리</t>
    <phoneticPr fontId="3" type="noConversion"/>
  </si>
  <si>
    <t>상덕2리</t>
    <phoneticPr fontId="3" type="noConversion"/>
  </si>
  <si>
    <t>상덕3리</t>
    <phoneticPr fontId="3" type="noConversion"/>
  </si>
  <si>
    <t>상덕4리</t>
    <phoneticPr fontId="3" type="noConversion"/>
  </si>
  <si>
    <t>상덕5리</t>
    <phoneticPr fontId="3" type="noConversion"/>
  </si>
  <si>
    <t>수헐1리</t>
    <phoneticPr fontId="3" type="noConversion"/>
  </si>
  <si>
    <t>수헐2리</t>
    <phoneticPr fontId="3" type="noConversion"/>
  </si>
  <si>
    <t>수헐3리</t>
    <phoneticPr fontId="3" type="noConversion"/>
  </si>
  <si>
    <t>수헐4리</t>
    <phoneticPr fontId="3" type="noConversion"/>
  </si>
  <si>
    <t>양당1리</t>
    <phoneticPr fontId="3" type="noConversion"/>
  </si>
  <si>
    <t>양당2리</t>
    <phoneticPr fontId="3" type="noConversion"/>
  </si>
  <si>
    <t>자은가리</t>
    <phoneticPr fontId="3" type="noConversion"/>
  </si>
  <si>
    <t>판정1리</t>
    <phoneticPr fontId="3" type="noConversion"/>
  </si>
  <si>
    <t>판정2리</t>
    <phoneticPr fontId="3" type="noConversion"/>
  </si>
  <si>
    <t>하장1리</t>
    <phoneticPr fontId="3" type="noConversion"/>
  </si>
  <si>
    <t>하장2리</t>
    <phoneticPr fontId="3" type="noConversion"/>
  </si>
  <si>
    <t>하장3리</t>
    <phoneticPr fontId="3" type="noConversion"/>
  </si>
  <si>
    <t>하장4리</t>
    <phoneticPr fontId="3" type="noConversion"/>
  </si>
  <si>
    <t>하장5리</t>
    <phoneticPr fontId="3" type="noConversion"/>
  </si>
  <si>
    <t>하장6리</t>
    <phoneticPr fontId="3" type="noConversion"/>
  </si>
  <si>
    <t>하장7리</t>
    <phoneticPr fontId="3" type="noConversion"/>
  </si>
  <si>
    <t>하장8리</t>
    <phoneticPr fontId="3" type="noConversion"/>
  </si>
  <si>
    <t>기로1리</t>
    <phoneticPr fontId="3" type="noConversion"/>
  </si>
  <si>
    <t>기로2리</t>
    <phoneticPr fontId="3" type="noConversion"/>
  </si>
  <si>
    <t>도림1리</t>
    <phoneticPr fontId="3" type="noConversion"/>
  </si>
  <si>
    <t>도림2리</t>
    <phoneticPr fontId="3" type="noConversion"/>
  </si>
  <si>
    <t>도림3리</t>
    <phoneticPr fontId="3" type="noConversion"/>
  </si>
  <si>
    <t>도림4리</t>
    <phoneticPr fontId="3" type="noConversion"/>
  </si>
  <si>
    <t>홍천1리</t>
    <phoneticPr fontId="3" type="noConversion"/>
  </si>
  <si>
    <t>홍천2리</t>
    <phoneticPr fontId="3" type="noConversion"/>
  </si>
  <si>
    <t>호당1리</t>
    <phoneticPr fontId="3" type="noConversion"/>
  </si>
  <si>
    <t>호당2리</t>
    <phoneticPr fontId="3" type="noConversion"/>
  </si>
  <si>
    <t>시장1리</t>
    <phoneticPr fontId="3" type="noConversion"/>
  </si>
  <si>
    <t>시장2리</t>
    <phoneticPr fontId="3" type="noConversion"/>
  </si>
  <si>
    <t>효계1리</t>
    <phoneticPr fontId="3" type="noConversion"/>
  </si>
  <si>
    <t>효계2리</t>
    <phoneticPr fontId="3" type="noConversion"/>
  </si>
  <si>
    <t>신두1리</t>
    <phoneticPr fontId="3" type="noConversion"/>
  </si>
  <si>
    <t>신두2리</t>
    <phoneticPr fontId="3" type="noConversion"/>
  </si>
  <si>
    <t>용정1리</t>
    <phoneticPr fontId="3" type="noConversion"/>
  </si>
  <si>
    <t>용정2리</t>
    <phoneticPr fontId="3" type="noConversion"/>
  </si>
  <si>
    <t>산정1리</t>
    <phoneticPr fontId="3" type="noConversion"/>
  </si>
  <si>
    <t>산정2리</t>
    <phoneticPr fontId="3" type="noConversion"/>
  </si>
  <si>
    <t>연곡1리</t>
    <phoneticPr fontId="3" type="noConversion"/>
  </si>
  <si>
    <t>연곡2리</t>
    <phoneticPr fontId="3" type="noConversion"/>
  </si>
  <si>
    <t>가산1리</t>
    <phoneticPr fontId="3" type="noConversion"/>
  </si>
  <si>
    <t>가산2리</t>
    <phoneticPr fontId="3" type="noConversion"/>
  </si>
  <si>
    <t>독정1리</t>
    <phoneticPr fontId="3" type="noConversion"/>
  </si>
  <si>
    <t>독정2리</t>
    <phoneticPr fontId="3" type="noConversion"/>
  </si>
  <si>
    <t>동    리</t>
    <phoneticPr fontId="3" type="noConversion"/>
  </si>
  <si>
    <t>서 1 리</t>
    <phoneticPr fontId="3" type="noConversion"/>
  </si>
  <si>
    <t>서 2 리</t>
    <phoneticPr fontId="3" type="noConversion"/>
  </si>
  <si>
    <t>석 천 리</t>
    <phoneticPr fontId="3" type="noConversion"/>
  </si>
  <si>
    <t>소 사 리</t>
    <phoneticPr fontId="3" type="noConversion"/>
  </si>
  <si>
    <t>송 전 리</t>
    <phoneticPr fontId="3" type="noConversion"/>
  </si>
  <si>
    <t>신 덕 리</t>
    <phoneticPr fontId="3" type="noConversion"/>
  </si>
  <si>
    <t>어 룡 리</t>
    <phoneticPr fontId="3" type="noConversion"/>
  </si>
  <si>
    <t>복 모 리</t>
    <phoneticPr fontId="3" type="noConversion"/>
  </si>
  <si>
    <t>저 1 리</t>
    <phoneticPr fontId="3" type="noConversion"/>
  </si>
  <si>
    <t>저 2 리</t>
    <phoneticPr fontId="3" type="noConversion"/>
  </si>
  <si>
    <t>저 3 리</t>
    <phoneticPr fontId="3" type="noConversion"/>
  </si>
  <si>
    <t>저 4 리</t>
    <phoneticPr fontId="3" type="noConversion"/>
  </si>
  <si>
    <t>저 5 리</t>
    <phoneticPr fontId="3" type="noConversion"/>
  </si>
  <si>
    <t>저 6 리</t>
    <phoneticPr fontId="3" type="noConversion"/>
  </si>
  <si>
    <t>유 1 리</t>
    <phoneticPr fontId="3" type="noConversion"/>
  </si>
  <si>
    <t>유 2 리</t>
    <phoneticPr fontId="3" type="noConversion"/>
  </si>
  <si>
    <t>유 3 리</t>
    <phoneticPr fontId="3" type="noConversion"/>
  </si>
  <si>
    <t>유 4 리</t>
    <phoneticPr fontId="3" type="noConversion"/>
  </si>
  <si>
    <t>28통</t>
    <phoneticPr fontId="3" type="noConversion"/>
  </si>
  <si>
    <t>29통</t>
    <phoneticPr fontId="3" type="noConversion"/>
  </si>
  <si>
    <t>오 색 당 리</t>
    <phoneticPr fontId="3" type="noConversion"/>
  </si>
  <si>
    <t>자 은 가 리</t>
    <phoneticPr fontId="3" type="noConversion"/>
  </si>
  <si>
    <t>2026.6.30.현재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</si>
</sst>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_ "/>
    <numFmt numFmtId="177" formatCode="#,##0_);[Red]\(#,##0\)"/>
    <numFmt numFmtId="178" formatCode="#,##0;[Red]#,##0"/>
  </numFmts>
  <fonts count="27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굴림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</font>
    <font>
      <b/>
      <sz val="20"/>
      <color indexed="8"/>
      <name val="맑은 고딕"/>
      <family val="3"/>
      <charset val="129"/>
    </font>
    <font>
      <b/>
      <sz val="20"/>
      <color indexed="12"/>
      <name val="맑은 고딕"/>
      <family val="3"/>
      <charset val="129"/>
    </font>
    <font>
      <b/>
      <sz val="12"/>
      <color indexed="12"/>
      <name val="맑은 고딕"/>
      <family val="3"/>
      <charset val="129"/>
    </font>
    <font>
      <b/>
      <sz val="18"/>
      <color indexed="8"/>
      <name val="맑은 고딕"/>
      <family val="3"/>
      <charset val="129"/>
    </font>
    <font>
      <sz val="12"/>
      <color indexed="8"/>
      <name val="맑은 고딕"/>
      <family val="3"/>
      <charset val="129"/>
    </font>
    <font>
      <sz val="12"/>
      <color indexed="12"/>
      <name val="맑은 고딕"/>
      <family val="3"/>
      <charset val="129"/>
    </font>
    <font>
      <sz val="18"/>
      <color indexed="8"/>
      <name val="맑은 고딕"/>
      <family val="3"/>
      <charset val="129"/>
    </font>
    <font>
      <sz val="11"/>
      <color indexed="12"/>
      <name val="맑은 고딕"/>
      <family val="3"/>
      <charset val="129"/>
    </font>
    <font>
      <b/>
      <sz val="20"/>
      <color rgb="FF0070C0"/>
      <name val="맑은 고딕"/>
      <family val="3"/>
      <charset val="129"/>
    </font>
    <font>
      <sz val="12"/>
      <color rgb="FF0070C0"/>
      <name val="맑은 고딕"/>
      <family val="3"/>
      <charset val="129"/>
    </font>
    <font>
      <b/>
      <sz val="25"/>
      <color indexed="8"/>
      <name val="맑은 고딕"/>
      <family val="3"/>
      <charset val="129"/>
    </font>
    <font>
      <sz val="11"/>
      <color rgb="FF0070C0"/>
      <name val="맑은 고딕"/>
      <family val="3"/>
      <charset val="129"/>
    </font>
    <font>
      <sz val="12"/>
      <color indexed="12"/>
      <name val="맑은 고딕"/>
      <family val="3"/>
      <charset val="129"/>
      <scheme val="minor"/>
    </font>
    <font>
      <sz val="12"/>
      <color indexed="12"/>
      <name val="맑은 고딕"/>
      <family val="3"/>
      <charset val="129"/>
      <scheme val="major"/>
    </font>
    <font>
      <sz val="11"/>
      <color rgb="FF333333"/>
      <name val="맑은 고딕"/>
      <family val="3"/>
      <charset val="129"/>
      <scheme val="major"/>
    </font>
    <font>
      <sz val="11"/>
      <color rgb="FF333333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FFFF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ck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n">
        <color rgb="FFC4CDD0"/>
      </right>
      <top/>
      <bottom style="thin">
        <color rgb="FFE9ECEE"/>
      </bottom>
      <diagonal/>
    </border>
    <border>
      <left/>
      <right/>
      <top/>
      <bottom style="thin">
        <color rgb="FFE9ECEE"/>
      </bottom>
      <diagonal/>
    </border>
  </borders>
  <cellStyleXfs count="43">
    <xf numFmtId="0" fontId="0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79">
    <xf numFmtId="0" fontId="0" fillId="0" borderId="0" xfId="0"/>
    <xf numFmtId="178" fontId="8" fillId="3" borderId="4" xfId="33" applyNumberFormat="1" applyFont="1" applyFill="1" applyBorder="1" applyAlignment="1">
      <alignment horizontal="center" vertical="center" shrinkToFit="1"/>
    </xf>
    <xf numFmtId="178" fontId="8" fillId="3" borderId="5" xfId="33" applyNumberFormat="1" applyFont="1" applyFill="1" applyBorder="1" applyAlignment="1">
      <alignment horizontal="center" vertical="center" shrinkToFit="1"/>
    </xf>
    <xf numFmtId="178" fontId="8" fillId="3" borderId="6" xfId="33" applyNumberFormat="1" applyFont="1" applyFill="1" applyBorder="1" applyAlignment="1">
      <alignment horizontal="center" vertical="center" shrinkToFit="1"/>
    </xf>
    <xf numFmtId="178" fontId="12" fillId="4" borderId="25" xfId="33" applyNumberFormat="1" applyFont="1" applyFill="1" applyBorder="1" applyAlignment="1">
      <alignment horizontal="center" vertical="center" shrinkToFit="1"/>
    </xf>
    <xf numFmtId="178" fontId="8" fillId="4" borderId="7" xfId="33" applyNumberFormat="1" applyFont="1" applyFill="1" applyBorder="1" applyAlignment="1">
      <alignment horizontal="center" vertical="center" shrinkToFit="1"/>
    </xf>
    <xf numFmtId="178" fontId="8" fillId="4" borderId="8" xfId="33" applyNumberFormat="1" applyFont="1" applyFill="1" applyBorder="1" applyAlignment="1">
      <alignment horizontal="center" vertical="center" shrinkToFit="1"/>
    </xf>
    <xf numFmtId="178" fontId="8" fillId="5" borderId="9" xfId="33" applyNumberFormat="1" applyFont="1" applyFill="1" applyBorder="1" applyAlignment="1">
      <alignment horizontal="center" vertical="center" shrinkToFit="1"/>
    </xf>
    <xf numFmtId="178" fontId="8" fillId="5" borderId="10" xfId="33" applyNumberFormat="1" applyFont="1" applyFill="1" applyBorder="1" applyAlignment="1">
      <alignment horizontal="center" vertical="center" shrinkToFit="1"/>
    </xf>
    <xf numFmtId="178" fontId="13" fillId="2" borderId="1" xfId="0" applyNumberFormat="1" applyFont="1" applyFill="1" applyBorder="1" applyAlignment="1">
      <alignment horizontal="center" vertical="center" shrinkToFit="1"/>
    </xf>
    <xf numFmtId="178" fontId="13" fillId="0" borderId="11" xfId="33" applyNumberFormat="1" applyFont="1" applyBorder="1" applyAlignment="1">
      <alignment horizontal="center" vertical="center" shrinkToFit="1"/>
    </xf>
    <xf numFmtId="178" fontId="13" fillId="0" borderId="1" xfId="0" applyNumberFormat="1" applyFont="1" applyBorder="1" applyAlignment="1">
      <alignment horizontal="center" vertical="center" shrinkToFit="1"/>
    </xf>
    <xf numFmtId="178" fontId="13" fillId="0" borderId="12" xfId="33" applyNumberFormat="1" applyFont="1" applyBorder="1" applyAlignment="1">
      <alignment horizontal="center" vertical="center" shrinkToFit="1"/>
    </xf>
    <xf numFmtId="178" fontId="13" fillId="0" borderId="2" xfId="0" applyNumberFormat="1" applyFont="1" applyBorder="1" applyAlignment="1">
      <alignment horizontal="center" vertical="center" shrinkToFit="1"/>
    </xf>
    <xf numFmtId="178" fontId="13" fillId="0" borderId="3" xfId="0" applyNumberFormat="1" applyFont="1" applyBorder="1" applyAlignment="1">
      <alignment horizontal="center" vertical="center" shrinkToFit="1"/>
    </xf>
    <xf numFmtId="178" fontId="13" fillId="0" borderId="13" xfId="33" applyNumberFormat="1" applyFont="1" applyBorder="1" applyAlignment="1">
      <alignment horizontal="center" vertical="center" shrinkToFit="1"/>
    </xf>
    <xf numFmtId="178" fontId="8" fillId="5" borderId="14" xfId="33" applyNumberFormat="1" applyFont="1" applyFill="1" applyBorder="1" applyAlignment="1">
      <alignment horizontal="center" vertical="center" shrinkToFit="1"/>
    </xf>
    <xf numFmtId="178" fontId="13" fillId="2" borderId="1" xfId="33" applyNumberFormat="1" applyFont="1" applyFill="1" applyBorder="1" applyAlignment="1">
      <alignment horizontal="center" vertical="center"/>
    </xf>
    <xf numFmtId="178" fontId="13" fillId="2" borderId="2" xfId="33" applyNumberFormat="1" applyFont="1" applyFill="1" applyBorder="1" applyAlignment="1">
      <alignment horizontal="center" vertical="center"/>
    </xf>
    <xf numFmtId="178" fontId="13" fillId="0" borderId="1" xfId="33" applyNumberFormat="1" applyFont="1" applyBorder="1" applyAlignment="1">
      <alignment horizontal="center" vertical="center" shrinkToFit="1"/>
    </xf>
    <xf numFmtId="178" fontId="13" fillId="0" borderId="2" xfId="33" applyNumberFormat="1" applyFont="1" applyBorder="1" applyAlignment="1">
      <alignment horizontal="center" vertical="center" shrinkToFit="1"/>
    </xf>
    <xf numFmtId="178" fontId="13" fillId="0" borderId="3" xfId="33" applyNumberFormat="1" applyFont="1" applyBorder="1" applyAlignment="1">
      <alignment horizontal="center" vertical="center" shrinkToFit="1"/>
    </xf>
    <xf numFmtId="178" fontId="13" fillId="0" borderId="15" xfId="33" applyNumberFormat="1" applyFont="1" applyBorder="1" applyAlignment="1">
      <alignment horizontal="center" vertical="center" shrinkToFit="1"/>
    </xf>
    <xf numFmtId="178" fontId="13" fillId="0" borderId="16" xfId="33" applyNumberFormat="1" applyFont="1" applyBorder="1" applyAlignment="1">
      <alignment horizontal="center" vertical="center" shrinkToFit="1"/>
    </xf>
    <xf numFmtId="178" fontId="13" fillId="0" borderId="17" xfId="33" applyNumberFormat="1" applyFont="1" applyBorder="1" applyAlignment="1">
      <alignment horizontal="center" vertical="center" shrinkToFit="1"/>
    </xf>
    <xf numFmtId="178" fontId="13" fillId="0" borderId="18" xfId="33" applyNumberFormat="1" applyFont="1" applyBorder="1" applyAlignment="1">
      <alignment horizontal="center" vertical="center" shrinkToFit="1"/>
    </xf>
    <xf numFmtId="178" fontId="8" fillId="5" borderId="7" xfId="33" applyNumberFormat="1" applyFont="1" applyFill="1" applyBorder="1" applyAlignment="1">
      <alignment horizontal="center" vertical="center" shrinkToFit="1"/>
    </xf>
    <xf numFmtId="178" fontId="8" fillId="5" borderId="8" xfId="33" applyNumberFormat="1" applyFont="1" applyFill="1" applyBorder="1" applyAlignment="1">
      <alignment horizontal="center" vertical="center" shrinkToFit="1"/>
    </xf>
    <xf numFmtId="178" fontId="8" fillId="5" borderId="12" xfId="33" applyNumberFormat="1" applyFont="1" applyFill="1" applyBorder="1" applyAlignment="1">
      <alignment horizontal="center" vertical="center" shrinkToFit="1"/>
    </xf>
    <xf numFmtId="178" fontId="8" fillId="5" borderId="2" xfId="33" applyNumberFormat="1" applyFont="1" applyFill="1" applyBorder="1" applyAlignment="1">
      <alignment horizontal="center" vertical="center" shrinkToFit="1"/>
    </xf>
    <xf numFmtId="178" fontId="13" fillId="0" borderId="20" xfId="33" applyNumberFormat="1" applyFont="1" applyBorder="1" applyAlignment="1">
      <alignment horizontal="center" vertical="center"/>
    </xf>
    <xf numFmtId="178" fontId="13" fillId="0" borderId="21" xfId="33" applyNumberFormat="1" applyFont="1" applyBorder="1" applyAlignment="1">
      <alignment horizontal="center" vertical="center"/>
    </xf>
    <xf numFmtId="178" fontId="13" fillId="0" borderId="22" xfId="33" applyNumberFormat="1" applyFont="1" applyBorder="1" applyAlignment="1">
      <alignment horizontal="center" vertical="center"/>
    </xf>
    <xf numFmtId="178" fontId="13" fillId="0" borderId="1" xfId="33" applyNumberFormat="1" applyFont="1" applyBorder="1" applyAlignment="1">
      <alignment horizontal="center" vertical="center"/>
    </xf>
    <xf numFmtId="178" fontId="13" fillId="2" borderId="1" xfId="33" applyNumberFormat="1" applyFont="1" applyFill="1" applyBorder="1" applyAlignment="1">
      <alignment horizontal="center" vertical="center" shrinkToFit="1"/>
    </xf>
    <xf numFmtId="178" fontId="13" fillId="2" borderId="16" xfId="33" applyNumberFormat="1" applyFont="1" applyFill="1" applyBorder="1" applyAlignment="1">
      <alignment horizontal="center" vertical="center" shrinkToFit="1"/>
    </xf>
    <xf numFmtId="178" fontId="12" fillId="8" borderId="26" xfId="33" applyNumberFormat="1" applyFont="1" applyFill="1" applyBorder="1" applyAlignment="1">
      <alignment vertical="top"/>
    </xf>
    <xf numFmtId="178" fontId="13" fillId="0" borderId="2" xfId="11" applyNumberFormat="1" applyFont="1" applyBorder="1" applyAlignment="1">
      <alignment horizontal="center" vertical="center"/>
    </xf>
    <xf numFmtId="178" fontId="13" fillId="0" borderId="1" xfId="11" applyNumberFormat="1" applyFont="1" applyBorder="1" applyAlignment="1">
      <alignment horizontal="center" vertical="center"/>
    </xf>
    <xf numFmtId="178" fontId="13" fillId="0" borderId="3" xfId="11" applyNumberFormat="1" applyFont="1" applyBorder="1" applyAlignment="1">
      <alignment horizontal="center" vertical="center"/>
    </xf>
    <xf numFmtId="178" fontId="12" fillId="8" borderId="27" xfId="33" applyNumberFormat="1" applyFont="1" applyFill="1" applyBorder="1" applyAlignment="1">
      <alignment vertical="top"/>
    </xf>
    <xf numFmtId="178" fontId="13" fillId="0" borderId="41" xfId="11" applyNumberFormat="1" applyFont="1" applyBorder="1" applyAlignment="1">
      <alignment horizontal="center" vertical="center"/>
    </xf>
    <xf numFmtId="178" fontId="13" fillId="0" borderId="42" xfId="33" applyNumberFormat="1" applyFont="1" applyBorder="1" applyAlignment="1">
      <alignment horizontal="center" vertical="center" shrinkToFit="1"/>
    </xf>
    <xf numFmtId="178" fontId="5" fillId="0" borderId="0" xfId="33" applyNumberFormat="1" applyFont="1" applyAlignment="1">
      <alignment horizontal="center" vertical="center"/>
    </xf>
    <xf numFmtId="178" fontId="16" fillId="0" borderId="0" xfId="33" applyNumberFormat="1" applyFont="1" applyAlignment="1">
      <alignment horizontal="center" vertical="center"/>
    </xf>
    <xf numFmtId="177" fontId="8" fillId="6" borderId="23" xfId="7" applyNumberFormat="1" applyFont="1" applyFill="1" applyBorder="1" applyAlignment="1">
      <alignment horizontal="center" vertical="center" shrinkToFit="1"/>
    </xf>
    <xf numFmtId="178" fontId="8" fillId="3" borderId="5" xfId="7" applyNumberFormat="1" applyFont="1" applyFill="1" applyBorder="1" applyAlignment="1">
      <alignment horizontal="center" vertical="center" shrinkToFit="1"/>
    </xf>
    <xf numFmtId="178" fontId="8" fillId="3" borderId="6" xfId="7" applyNumberFormat="1" applyFont="1" applyFill="1" applyBorder="1" applyAlignment="1">
      <alignment horizontal="center" vertical="center" shrinkToFit="1"/>
    </xf>
    <xf numFmtId="178" fontId="8" fillId="4" borderId="7" xfId="7" applyNumberFormat="1" applyFont="1" applyFill="1" applyBorder="1" applyAlignment="1">
      <alignment horizontal="center" vertical="center" shrinkToFit="1"/>
    </xf>
    <xf numFmtId="178" fontId="8" fillId="4" borderId="8" xfId="7" applyNumberFormat="1" applyFont="1" applyFill="1" applyBorder="1" applyAlignment="1">
      <alignment horizontal="center" vertical="center" shrinkToFit="1"/>
    </xf>
    <xf numFmtId="178" fontId="8" fillId="5" borderId="9" xfId="7" applyNumberFormat="1" applyFont="1" applyFill="1" applyBorder="1" applyAlignment="1">
      <alignment horizontal="center" vertical="center" shrinkToFit="1"/>
    </xf>
    <xf numFmtId="178" fontId="8" fillId="5" borderId="10" xfId="7" applyNumberFormat="1" applyFont="1" applyFill="1" applyBorder="1" applyAlignment="1">
      <alignment horizontal="center" vertical="center" shrinkToFit="1"/>
    </xf>
    <xf numFmtId="178" fontId="13" fillId="0" borderId="11" xfId="7" applyNumberFormat="1" applyFont="1" applyBorder="1" applyAlignment="1">
      <alignment horizontal="center" vertical="center" shrinkToFit="1"/>
    </xf>
    <xf numFmtId="178" fontId="13" fillId="0" borderId="1" xfId="7" applyNumberFormat="1" applyFont="1" applyBorder="1" applyAlignment="1">
      <alignment horizontal="center" vertical="center" shrinkToFit="1"/>
    </xf>
    <xf numFmtId="178" fontId="13" fillId="0" borderId="2" xfId="7" applyNumberFormat="1" applyFont="1" applyBorder="1" applyAlignment="1">
      <alignment horizontal="center" vertical="center" shrinkToFit="1"/>
    </xf>
    <xf numFmtId="178" fontId="13" fillId="0" borderId="12" xfId="7" applyNumberFormat="1" applyFont="1" applyBorder="1" applyAlignment="1">
      <alignment horizontal="center" vertical="center" shrinkToFit="1"/>
    </xf>
    <xf numFmtId="178" fontId="13" fillId="0" borderId="3" xfId="7" applyNumberFormat="1" applyFont="1" applyBorder="1" applyAlignment="1">
      <alignment horizontal="center" vertical="center" shrinkToFit="1"/>
    </xf>
    <xf numFmtId="178" fontId="13" fillId="0" borderId="13" xfId="7" applyNumberFormat="1" applyFont="1" applyBorder="1" applyAlignment="1">
      <alignment horizontal="center" vertical="center" shrinkToFit="1"/>
    </xf>
    <xf numFmtId="178" fontId="13" fillId="0" borderId="17" xfId="7" applyNumberFormat="1" applyFont="1" applyBorder="1" applyAlignment="1">
      <alignment horizontal="center" vertical="center" shrinkToFit="1"/>
    </xf>
    <xf numFmtId="178" fontId="13" fillId="0" borderId="18" xfId="7" applyNumberFormat="1" applyFont="1" applyBorder="1" applyAlignment="1">
      <alignment horizontal="center" vertical="center" shrinkToFit="1"/>
    </xf>
    <xf numFmtId="177" fontId="8" fillId="5" borderId="9" xfId="7" applyNumberFormat="1" applyFont="1" applyFill="1" applyBorder="1" applyAlignment="1">
      <alignment horizontal="center" vertical="center" shrinkToFit="1"/>
    </xf>
    <xf numFmtId="177" fontId="8" fillId="5" borderId="10" xfId="7" applyNumberFormat="1" applyFont="1" applyFill="1" applyBorder="1" applyAlignment="1">
      <alignment horizontal="center" vertical="center" shrinkToFit="1"/>
    </xf>
    <xf numFmtId="177" fontId="13" fillId="0" borderId="1" xfId="7" applyNumberFormat="1" applyFont="1" applyBorder="1" applyAlignment="1">
      <alignment horizontal="center" vertical="center" shrinkToFit="1"/>
    </xf>
    <xf numFmtId="177" fontId="13" fillId="0" borderId="11" xfId="7" applyNumberFormat="1" applyFont="1" applyBorder="1" applyAlignment="1">
      <alignment horizontal="center" vertical="center" shrinkToFit="1"/>
    </xf>
    <xf numFmtId="177" fontId="13" fillId="0" borderId="17" xfId="7" applyNumberFormat="1" applyFont="1" applyBorder="1" applyAlignment="1">
      <alignment horizontal="center" vertical="center" shrinkToFit="1"/>
    </xf>
    <xf numFmtId="177" fontId="13" fillId="0" borderId="18" xfId="7" applyNumberFormat="1" applyFont="1" applyBorder="1" applyAlignment="1">
      <alignment horizontal="center" vertical="center" shrinkToFit="1"/>
    </xf>
    <xf numFmtId="178" fontId="8" fillId="5" borderId="2" xfId="7" applyNumberFormat="1" applyFont="1" applyFill="1" applyBorder="1" applyAlignment="1">
      <alignment horizontal="center" vertical="center" shrinkToFit="1"/>
    </xf>
    <xf numFmtId="178" fontId="8" fillId="5" borderId="12" xfId="7" applyNumberFormat="1" applyFont="1" applyFill="1" applyBorder="1" applyAlignment="1">
      <alignment horizontal="center" vertical="center" shrinkToFit="1"/>
    </xf>
    <xf numFmtId="177" fontId="8" fillId="5" borderId="2" xfId="7" applyNumberFormat="1" applyFont="1" applyFill="1" applyBorder="1" applyAlignment="1">
      <alignment horizontal="center" vertical="center" shrinkToFit="1"/>
    </xf>
    <xf numFmtId="177" fontId="8" fillId="5" borderId="12" xfId="7" applyNumberFormat="1" applyFont="1" applyFill="1" applyBorder="1" applyAlignment="1">
      <alignment horizontal="center" vertical="center" shrinkToFit="1"/>
    </xf>
    <xf numFmtId="41" fontId="13" fillId="0" borderId="11" xfId="1" applyFont="1" applyBorder="1" applyAlignment="1">
      <alignment horizontal="center" vertical="center" shrinkToFit="1"/>
    </xf>
    <xf numFmtId="41" fontId="13" fillId="0" borderId="18" xfId="1" applyFont="1" applyBorder="1" applyAlignment="1">
      <alignment horizontal="center" vertical="center" shrinkToFit="1"/>
    </xf>
    <xf numFmtId="178" fontId="13" fillId="5" borderId="2" xfId="7" applyNumberFormat="1" applyFont="1" applyFill="1" applyBorder="1" applyAlignment="1">
      <alignment horizontal="center" vertical="center" shrinkToFit="1"/>
    </xf>
    <xf numFmtId="178" fontId="13" fillId="5" borderId="12" xfId="7" applyNumberFormat="1" applyFont="1" applyFill="1" applyBorder="1" applyAlignment="1">
      <alignment horizontal="center" vertical="center" shrinkToFit="1"/>
    </xf>
    <xf numFmtId="49" fontId="13" fillId="0" borderId="1" xfId="9" applyNumberFormat="1" applyFont="1" applyBorder="1" applyAlignment="1">
      <alignment horizontal="center" vertical="center"/>
    </xf>
    <xf numFmtId="178" fontId="13" fillId="0" borderId="24" xfId="7" applyNumberFormat="1" applyFont="1" applyBorder="1" applyAlignment="1">
      <alignment horizontal="center" vertical="center" shrinkToFit="1"/>
    </xf>
    <xf numFmtId="0" fontId="5" fillId="0" borderId="0" xfId="7" applyNumberFormat="1" applyFont="1" applyAlignment="1">
      <alignment horizontal="center" vertical="center"/>
    </xf>
    <xf numFmtId="177" fontId="5" fillId="0" borderId="0" xfId="7" applyNumberFormat="1" applyFont="1" applyAlignment="1">
      <alignment horizontal="center" vertical="center"/>
    </xf>
    <xf numFmtId="177" fontId="20" fillId="0" borderId="0" xfId="7" applyNumberFormat="1" applyFont="1" applyAlignment="1">
      <alignment horizontal="center" vertical="center"/>
    </xf>
    <xf numFmtId="0" fontId="5" fillId="0" borderId="0" xfId="33" applyNumberFormat="1" applyFont="1" applyAlignment="1">
      <alignment horizontal="center" vertical="center"/>
    </xf>
    <xf numFmtId="178" fontId="5" fillId="0" borderId="0" xfId="33" applyNumberFormat="1" applyFont="1" applyFill="1" applyAlignment="1">
      <alignment horizontal="center" vertical="center"/>
    </xf>
    <xf numFmtId="178" fontId="5" fillId="0" borderId="0" xfId="33" applyNumberFormat="1" applyFont="1" applyBorder="1" applyAlignment="1">
      <alignment horizontal="center" vertical="center"/>
    </xf>
    <xf numFmtId="177" fontId="16" fillId="0" borderId="0" xfId="33" applyNumberFormat="1" applyFont="1" applyAlignment="1">
      <alignment horizontal="center" vertical="center"/>
    </xf>
    <xf numFmtId="178" fontId="12" fillId="8" borderId="26" xfId="33" applyNumberFormat="1" applyFont="1" applyFill="1" applyBorder="1" applyAlignment="1">
      <alignment horizontal="center" vertical="top" shrinkToFit="1"/>
    </xf>
    <xf numFmtId="178" fontId="12" fillId="8" borderId="25" xfId="33" applyNumberFormat="1" applyFont="1" applyFill="1" applyBorder="1" applyAlignment="1">
      <alignment horizontal="center" vertical="top"/>
    </xf>
    <xf numFmtId="178" fontId="8" fillId="6" borderId="23" xfId="33" applyNumberFormat="1" applyFont="1" applyFill="1" applyBorder="1" applyAlignment="1">
      <alignment horizontal="center" vertical="center" shrinkToFit="1"/>
    </xf>
    <xf numFmtId="0" fontId="9" fillId="0" borderId="0" xfId="33" applyFont="1" applyAlignment="1">
      <alignment horizontal="center" vertical="center" wrapText="1"/>
    </xf>
    <xf numFmtId="0" fontId="9" fillId="0" borderId="0" xfId="33" applyFont="1" applyAlignment="1">
      <alignment horizontal="center" vertical="center" shrinkToFit="1"/>
    </xf>
    <xf numFmtId="177" fontId="10" fillId="0" borderId="0" xfId="33" applyNumberFormat="1" applyFont="1" applyAlignment="1">
      <alignment horizontal="center" vertical="center" shrinkToFit="1"/>
    </xf>
    <xf numFmtId="178" fontId="8" fillId="0" borderId="12" xfId="33" applyNumberFormat="1" applyFont="1" applyBorder="1" applyAlignment="1">
      <alignment horizontal="center" vertical="center" shrinkToFit="1"/>
    </xf>
    <xf numFmtId="178" fontId="8" fillId="0" borderId="11" xfId="33" applyNumberFormat="1" applyFont="1" applyBorder="1" applyAlignment="1">
      <alignment horizontal="center" vertical="center" shrinkToFit="1"/>
    </xf>
    <xf numFmtId="178" fontId="13" fillId="0" borderId="11" xfId="33" applyNumberFormat="1" applyFont="1" applyBorder="1" applyAlignment="1">
      <alignment horizontal="right" vertical="center" shrinkToFit="1"/>
    </xf>
    <xf numFmtId="178" fontId="13" fillId="0" borderId="13" xfId="33" applyNumberFormat="1" applyFont="1" applyBorder="1" applyAlignment="1">
      <alignment horizontal="right" vertical="center" shrinkToFit="1"/>
    </xf>
    <xf numFmtId="178" fontId="13" fillId="0" borderId="18" xfId="33" applyNumberFormat="1" applyFont="1" applyBorder="1" applyAlignment="1">
      <alignment horizontal="right" vertical="center" shrinkToFit="1"/>
    </xf>
    <xf numFmtId="178" fontId="13" fillId="0" borderId="36" xfId="33" applyNumberFormat="1" applyFont="1" applyBorder="1" applyAlignment="1">
      <alignment horizontal="center" vertical="center" shrinkToFit="1"/>
    </xf>
    <xf numFmtId="178" fontId="13" fillId="0" borderId="37" xfId="33" applyNumberFormat="1" applyFont="1" applyBorder="1" applyAlignment="1">
      <alignment horizontal="center" vertical="center" shrinkToFit="1"/>
    </xf>
    <xf numFmtId="178" fontId="13" fillId="0" borderId="38" xfId="33" applyNumberFormat="1" applyFont="1" applyBorder="1" applyAlignment="1">
      <alignment horizontal="center" vertical="center" shrinkToFit="1"/>
    </xf>
    <xf numFmtId="178" fontId="13" fillId="0" borderId="40" xfId="33" applyNumberFormat="1" applyFont="1" applyBorder="1" applyAlignment="1">
      <alignment horizontal="center" vertical="center" shrinkToFit="1"/>
    </xf>
    <xf numFmtId="178" fontId="8" fillId="0" borderId="16" xfId="33" applyNumberFormat="1" applyFont="1" applyBorder="1" applyAlignment="1">
      <alignment horizontal="center" vertical="center" shrinkToFit="1"/>
    </xf>
    <xf numFmtId="178" fontId="5" fillId="0" borderId="0" xfId="33" applyNumberFormat="1" applyFont="1" applyAlignment="1">
      <alignment horizontal="left" vertical="center"/>
    </xf>
    <xf numFmtId="0" fontId="9" fillId="0" borderId="0" xfId="7" applyFont="1" applyAlignment="1">
      <alignment horizontal="center" vertical="center" wrapText="1"/>
    </xf>
    <xf numFmtId="0" fontId="9" fillId="0" borderId="0" xfId="7" applyFont="1" applyAlignment="1">
      <alignment horizontal="center" vertical="center" shrinkToFit="1"/>
    </xf>
    <xf numFmtId="177" fontId="17" fillId="0" borderId="0" xfId="7" applyNumberFormat="1" applyFont="1" applyAlignment="1">
      <alignment horizontal="center" vertical="center" shrinkToFit="1"/>
    </xf>
    <xf numFmtId="0" fontId="8" fillId="6" borderId="23" xfId="7" applyFont="1" applyFill="1" applyBorder="1" applyAlignment="1">
      <alignment horizontal="center" vertical="center" shrinkToFit="1"/>
    </xf>
    <xf numFmtId="0" fontId="8" fillId="3" borderId="4" xfId="7" applyFont="1" applyFill="1" applyBorder="1" applyAlignment="1">
      <alignment horizontal="center" vertical="center" shrinkToFit="1"/>
    </xf>
    <xf numFmtId="0" fontId="12" fillId="4" borderId="25" xfId="7" applyFont="1" applyFill="1" applyBorder="1" applyAlignment="1">
      <alignment horizontal="center" vertical="center" shrinkToFit="1"/>
    </xf>
    <xf numFmtId="0" fontId="12" fillId="8" borderId="26" xfId="7" applyFont="1" applyFill="1" applyBorder="1" applyAlignment="1">
      <alignment horizontal="center" vertical="center" shrinkToFit="1"/>
    </xf>
    <xf numFmtId="178" fontId="13" fillId="0" borderId="19" xfId="7" applyNumberFormat="1" applyFont="1" applyBorder="1" applyAlignment="1">
      <alignment horizontal="center" vertical="center" shrinkToFit="1"/>
    </xf>
    <xf numFmtId="0" fontId="5" fillId="0" borderId="43" xfId="7" applyFont="1" applyBorder="1" applyAlignment="1">
      <alignment horizontal="left" vertical="center"/>
    </xf>
    <xf numFmtId="176" fontId="13" fillId="0" borderId="0" xfId="7" applyNumberFormat="1" applyFont="1" applyAlignment="1">
      <alignment horizontal="right" vertical="center" shrinkToFit="1"/>
    </xf>
    <xf numFmtId="177" fontId="18" fillId="0" borderId="0" xfId="7" applyNumberFormat="1" applyFont="1" applyAlignment="1">
      <alignment horizontal="right" vertical="center" shrinkToFit="1"/>
    </xf>
    <xf numFmtId="178" fontId="13" fillId="0" borderId="0" xfId="7" applyNumberFormat="1" applyFont="1" applyAlignment="1">
      <alignment horizontal="center" vertical="center" shrinkToFit="1"/>
    </xf>
    <xf numFmtId="178" fontId="5" fillId="0" borderId="11" xfId="33" applyNumberFormat="1" applyFont="1" applyBorder="1" applyAlignment="1">
      <alignment horizontal="center" vertical="center" shrinkToFit="1"/>
    </xf>
    <xf numFmtId="178" fontId="5" fillId="0" borderId="13" xfId="33" applyNumberFormat="1" applyFont="1" applyBorder="1" applyAlignment="1">
      <alignment horizontal="center" vertical="center" shrinkToFit="1"/>
    </xf>
    <xf numFmtId="178" fontId="5" fillId="0" borderId="18" xfId="33" applyNumberFormat="1" applyFont="1" applyBorder="1" applyAlignment="1">
      <alignment horizontal="center" vertical="center" shrinkToFit="1"/>
    </xf>
    <xf numFmtId="178" fontId="7" fillId="0" borderId="11" xfId="33" applyNumberFormat="1" applyFont="1" applyBorder="1" applyAlignment="1">
      <alignment horizontal="center" vertical="center" shrinkToFit="1"/>
    </xf>
    <xf numFmtId="178" fontId="7" fillId="0" borderId="12" xfId="33" applyNumberFormat="1" applyFont="1" applyBorder="1" applyAlignment="1">
      <alignment horizontal="center" vertical="center" shrinkToFit="1"/>
    </xf>
    <xf numFmtId="178" fontId="7" fillId="0" borderId="13" xfId="33" applyNumberFormat="1" applyFont="1" applyBorder="1" applyAlignment="1">
      <alignment horizontal="center" vertical="center" shrinkToFit="1"/>
    </xf>
    <xf numFmtId="178" fontId="5" fillId="0" borderId="16" xfId="33" applyNumberFormat="1" applyFont="1" applyBorder="1" applyAlignment="1">
      <alignment horizontal="center" vertical="center"/>
    </xf>
    <xf numFmtId="178" fontId="5" fillId="0" borderId="11" xfId="33" applyNumberFormat="1" applyFont="1" applyBorder="1" applyAlignment="1">
      <alignment horizontal="center" vertical="center"/>
    </xf>
    <xf numFmtId="41" fontId="8" fillId="3" borderId="5" xfId="1" applyNumberFormat="1" applyFont="1" applyFill="1" applyBorder="1" applyAlignment="1">
      <alignment horizontal="right" vertical="center" shrinkToFit="1"/>
    </xf>
    <xf numFmtId="41" fontId="11" fillId="3" borderId="5" xfId="1" applyNumberFormat="1" applyFont="1" applyFill="1" applyBorder="1" applyAlignment="1">
      <alignment horizontal="right" vertical="center" shrinkToFit="1"/>
    </xf>
    <xf numFmtId="41" fontId="8" fillId="4" borderId="7" xfId="1" applyNumberFormat="1" applyFont="1" applyFill="1" applyBorder="1" applyAlignment="1">
      <alignment horizontal="right" vertical="center" shrinkToFit="1"/>
    </xf>
    <xf numFmtId="41" fontId="11" fillId="4" borderId="7" xfId="1" applyNumberFormat="1" applyFont="1" applyFill="1" applyBorder="1" applyAlignment="1">
      <alignment horizontal="right" vertical="center" shrinkToFit="1"/>
    </xf>
    <xf numFmtId="41" fontId="8" fillId="5" borderId="9" xfId="1" applyNumberFormat="1" applyFont="1" applyFill="1" applyBorder="1" applyAlignment="1">
      <alignment horizontal="right" vertical="center" shrinkToFit="1"/>
    </xf>
    <xf numFmtId="41" fontId="11" fillId="5" borderId="9" xfId="1" applyNumberFormat="1" applyFont="1" applyFill="1" applyBorder="1" applyAlignment="1">
      <alignment horizontal="right" vertical="center" shrinkToFit="1"/>
    </xf>
    <xf numFmtId="41" fontId="5" fillId="0" borderId="1" xfId="1" applyNumberFormat="1" applyFont="1" applyBorder="1" applyAlignment="1">
      <alignment vertical="center"/>
    </xf>
    <xf numFmtId="41" fontId="14" fillId="0" borderId="1" xfId="1" applyNumberFormat="1" applyFont="1" applyBorder="1" applyAlignment="1">
      <alignment vertical="center"/>
    </xf>
    <xf numFmtId="41" fontId="8" fillId="5" borderId="7" xfId="1" applyNumberFormat="1" applyFont="1" applyFill="1" applyBorder="1" applyAlignment="1">
      <alignment horizontal="right" vertical="center" shrinkToFit="1"/>
    </xf>
    <xf numFmtId="41" fontId="11" fillId="5" borderId="7" xfId="1" applyNumberFormat="1" applyFont="1" applyFill="1" applyBorder="1" applyAlignment="1">
      <alignment horizontal="right" vertical="center" shrinkToFit="1"/>
    </xf>
    <xf numFmtId="41" fontId="11" fillId="5" borderId="9" xfId="1" applyNumberFormat="1" applyFont="1" applyFill="1" applyBorder="1" applyAlignment="1">
      <alignment vertical="center" shrinkToFit="1"/>
    </xf>
    <xf numFmtId="41" fontId="5" fillId="0" borderId="2" xfId="1" applyNumberFormat="1" applyFont="1" applyBorder="1" applyAlignment="1">
      <alignment vertical="center"/>
    </xf>
    <xf numFmtId="41" fontId="5" fillId="0" borderId="1" xfId="1" applyNumberFormat="1" applyFont="1" applyFill="1" applyBorder="1" applyAlignment="1">
      <alignment vertical="center"/>
    </xf>
    <xf numFmtId="41" fontId="5" fillId="0" borderId="17" xfId="1" applyNumberFormat="1" applyFont="1" applyBorder="1" applyAlignment="1">
      <alignment vertical="center"/>
    </xf>
    <xf numFmtId="41" fontId="8" fillId="5" borderId="2" xfId="1" applyNumberFormat="1" applyFont="1" applyFill="1" applyBorder="1" applyAlignment="1">
      <alignment horizontal="right" vertical="center" shrinkToFit="1"/>
    </xf>
    <xf numFmtId="41" fontId="5" fillId="0" borderId="15" xfId="1" applyNumberFormat="1" applyFont="1" applyBorder="1" applyAlignment="1">
      <alignment vertical="center"/>
    </xf>
    <xf numFmtId="41" fontId="8" fillId="5" borderId="9" xfId="1" applyNumberFormat="1" applyFont="1" applyFill="1" applyBorder="1" applyAlignment="1">
      <alignment horizontal="right" vertical="center"/>
    </xf>
    <xf numFmtId="41" fontId="11" fillId="5" borderId="9" xfId="1" applyNumberFormat="1" applyFont="1" applyFill="1" applyBorder="1" applyAlignment="1">
      <alignment horizontal="right" vertical="center"/>
    </xf>
    <xf numFmtId="41" fontId="8" fillId="3" borderId="5" xfId="7" applyNumberFormat="1" applyFont="1" applyFill="1" applyBorder="1" applyAlignment="1">
      <alignment horizontal="right" vertical="center" shrinkToFit="1"/>
    </xf>
    <xf numFmtId="41" fontId="11" fillId="3" borderId="5" xfId="7" applyNumberFormat="1" applyFont="1" applyFill="1" applyBorder="1" applyAlignment="1">
      <alignment horizontal="right" vertical="center" shrinkToFit="1"/>
    </xf>
    <xf numFmtId="41" fontId="8" fillId="4" borderId="7" xfId="7" applyNumberFormat="1" applyFont="1" applyFill="1" applyBorder="1" applyAlignment="1">
      <alignment horizontal="right" vertical="center" shrinkToFit="1"/>
    </xf>
    <xf numFmtId="41" fontId="11" fillId="4" borderId="7" xfId="7" applyNumberFormat="1" applyFont="1" applyFill="1" applyBorder="1" applyAlignment="1">
      <alignment horizontal="right" vertical="center" shrinkToFit="1"/>
    </xf>
    <xf numFmtId="41" fontId="5" fillId="0" borderId="1" xfId="0" applyNumberFormat="1" applyFont="1" applyBorder="1" applyAlignment="1">
      <alignment vertical="center"/>
    </xf>
    <xf numFmtId="41" fontId="11" fillId="5" borderId="7" xfId="1" applyNumberFormat="1" applyFont="1" applyFill="1" applyBorder="1" applyAlignment="1">
      <alignment horizontal="right" vertical="center"/>
    </xf>
    <xf numFmtId="41" fontId="8" fillId="5" borderId="2" xfId="1" applyNumberFormat="1" applyFont="1" applyFill="1" applyBorder="1" applyAlignment="1">
      <alignment horizontal="right" vertical="center"/>
    </xf>
    <xf numFmtId="41" fontId="11" fillId="5" borderId="2" xfId="1" applyNumberFormat="1" applyFont="1" applyFill="1" applyBorder="1" applyAlignment="1">
      <alignment horizontal="right" vertical="center"/>
    </xf>
    <xf numFmtId="41" fontId="14" fillId="0" borderId="17" xfId="1" applyNumberFormat="1" applyFont="1" applyBorder="1" applyAlignment="1">
      <alignment vertical="center"/>
    </xf>
    <xf numFmtId="41" fontId="13" fillId="0" borderId="17" xfId="0" applyNumberFormat="1" applyFont="1" applyBorder="1" applyAlignment="1">
      <alignment horizontal="right" vertical="center"/>
    </xf>
    <xf numFmtId="41" fontId="13" fillId="0" borderId="19" xfId="0" applyNumberFormat="1" applyFont="1" applyBorder="1" applyAlignment="1">
      <alignment horizontal="right" vertical="center"/>
    </xf>
    <xf numFmtId="41" fontId="8" fillId="4" borderId="7" xfId="1" applyNumberFormat="1" applyFont="1" applyFill="1" applyBorder="1" applyAlignment="1">
      <alignment horizontal="right" vertical="center"/>
    </xf>
    <xf numFmtId="41" fontId="11" fillId="4" borderId="7" xfId="1" applyNumberFormat="1" applyFont="1" applyFill="1" applyBorder="1" applyAlignment="1">
      <alignment horizontal="right" vertical="center"/>
    </xf>
    <xf numFmtId="41" fontId="5" fillId="0" borderId="23" xfId="1" applyNumberFormat="1" applyFont="1" applyBorder="1" applyAlignment="1">
      <alignment vertical="center"/>
    </xf>
    <xf numFmtId="41" fontId="5" fillId="0" borderId="1" xfId="21" applyNumberFormat="1" applyFont="1" applyBorder="1" applyAlignment="1">
      <alignment vertical="center"/>
    </xf>
    <xf numFmtId="41" fontId="5" fillId="0" borderId="17" xfId="21" applyNumberFormat="1" applyFont="1" applyBorder="1" applyAlignment="1">
      <alignment vertical="center"/>
    </xf>
    <xf numFmtId="41" fontId="5" fillId="0" borderId="1" xfId="35" applyNumberFormat="1" applyFont="1" applyBorder="1" applyAlignment="1">
      <alignment vertical="center"/>
    </xf>
    <xf numFmtId="41" fontId="5" fillId="0" borderId="1" xfId="37" applyNumberFormat="1" applyFont="1" applyBorder="1" applyAlignment="1">
      <alignment vertical="center"/>
    </xf>
    <xf numFmtId="41" fontId="5" fillId="0" borderId="1" xfId="24" applyNumberFormat="1" applyFont="1" applyBorder="1" applyAlignment="1">
      <alignment vertical="center"/>
    </xf>
    <xf numFmtId="41" fontId="6" fillId="0" borderId="1" xfId="22" applyNumberFormat="1" applyBorder="1" applyAlignment="1">
      <alignment vertical="center"/>
    </xf>
    <xf numFmtId="41" fontId="5" fillId="0" borderId="1" xfId="32" applyNumberFormat="1" applyFont="1" applyBorder="1" applyAlignment="1">
      <alignment vertical="center"/>
    </xf>
    <xf numFmtId="41" fontId="6" fillId="0" borderId="1" xfId="37" applyNumberFormat="1" applyBorder="1" applyAlignment="1">
      <alignment vertical="center"/>
    </xf>
    <xf numFmtId="41" fontId="5" fillId="2" borderId="1" xfId="1" applyFont="1" applyFill="1" applyBorder="1" applyAlignment="1">
      <alignment vertical="center"/>
    </xf>
    <xf numFmtId="41" fontId="14" fillId="2" borderId="1" xfId="1" applyFont="1" applyFill="1" applyBorder="1" applyAlignment="1">
      <alignment vertical="center"/>
    </xf>
    <xf numFmtId="41" fontId="5" fillId="0" borderId="1" xfId="1" applyFont="1" applyBorder="1" applyAlignment="1">
      <alignment vertical="center"/>
    </xf>
    <xf numFmtId="41" fontId="14" fillId="0" borderId="1" xfId="1" applyFont="1" applyBorder="1" applyAlignment="1">
      <alignment vertical="center"/>
    </xf>
    <xf numFmtId="41" fontId="5" fillId="0" borderId="2" xfId="1" applyFont="1" applyBorder="1" applyAlignment="1">
      <alignment vertical="center"/>
    </xf>
    <xf numFmtId="41" fontId="23" fillId="9" borderId="1" xfId="0" applyNumberFormat="1" applyFont="1" applyFill="1" applyBorder="1" applyAlignment="1">
      <alignment vertical="center"/>
    </xf>
    <xf numFmtId="41" fontId="24" fillId="9" borderId="1" xfId="0" applyNumberFormat="1" applyFont="1" applyFill="1" applyBorder="1" applyAlignment="1">
      <alignment vertical="center"/>
    </xf>
    <xf numFmtId="41" fontId="24" fillId="9" borderId="17" xfId="0" applyNumberFormat="1" applyFont="1" applyFill="1" applyBorder="1" applyAlignment="1">
      <alignment vertical="center"/>
    </xf>
    <xf numFmtId="41" fontId="5" fillId="0" borderId="15" xfId="1" applyFont="1" applyBorder="1" applyAlignment="1">
      <alignment vertical="center"/>
    </xf>
    <xf numFmtId="41" fontId="25" fillId="0" borderId="1" xfId="1" applyFont="1" applyFill="1" applyBorder="1" applyAlignment="1">
      <alignment vertical="center" shrinkToFit="1"/>
    </xf>
    <xf numFmtId="41" fontId="25" fillId="0" borderId="1" xfId="1" applyNumberFormat="1" applyFont="1" applyFill="1" applyBorder="1" applyAlignment="1">
      <alignment vertical="center" shrinkToFit="1"/>
    </xf>
    <xf numFmtId="41" fontId="26" fillId="9" borderId="1" xfId="0" applyNumberFormat="1" applyFont="1" applyFill="1" applyBorder="1" applyAlignment="1">
      <alignment vertical="center"/>
    </xf>
    <xf numFmtId="41" fontId="6" fillId="9" borderId="1" xfId="0" applyNumberFormat="1" applyFont="1" applyFill="1" applyBorder="1" applyAlignment="1">
      <alignment vertical="center"/>
    </xf>
    <xf numFmtId="41" fontId="25" fillId="0" borderId="1" xfId="1" applyNumberFormat="1" applyFont="1" applyBorder="1" applyAlignment="1">
      <alignment vertical="center"/>
    </xf>
    <xf numFmtId="178" fontId="12" fillId="8" borderId="25" xfId="33" applyNumberFormat="1" applyFont="1" applyFill="1" applyBorder="1" applyAlignment="1">
      <alignment horizontal="center" vertical="top" shrinkToFit="1"/>
    </xf>
    <xf numFmtId="178" fontId="12" fillId="8" borderId="26" xfId="33" applyNumberFormat="1" applyFont="1" applyFill="1" applyBorder="1" applyAlignment="1">
      <alignment horizontal="center" vertical="top" shrinkToFit="1"/>
    </xf>
    <xf numFmtId="178" fontId="12" fillId="8" borderId="27" xfId="33" applyNumberFormat="1" applyFont="1" applyFill="1" applyBorder="1" applyAlignment="1">
      <alignment horizontal="center" vertical="center" shrinkToFit="1"/>
    </xf>
    <xf numFmtId="178" fontId="12" fillId="8" borderId="29" xfId="33" applyNumberFormat="1" applyFont="1" applyFill="1" applyBorder="1" applyAlignment="1">
      <alignment horizontal="center" vertical="center" shrinkToFit="1"/>
    </xf>
    <xf numFmtId="178" fontId="12" fillId="8" borderId="31" xfId="33" applyNumberFormat="1" applyFont="1" applyFill="1" applyBorder="1" applyAlignment="1">
      <alignment horizontal="center" vertical="center" shrinkToFit="1"/>
    </xf>
    <xf numFmtId="178" fontId="15" fillId="0" borderId="26" xfId="33" applyNumberFormat="1" applyFont="1" applyBorder="1" applyAlignment="1">
      <alignment horizontal="center" vertical="top" shrinkToFit="1"/>
    </xf>
    <xf numFmtId="178" fontId="12" fillId="8" borderId="25" xfId="33" applyNumberFormat="1" applyFont="1" applyFill="1" applyBorder="1" applyAlignment="1">
      <alignment horizontal="center" vertical="top"/>
    </xf>
    <xf numFmtId="178" fontId="12" fillId="8" borderId="26" xfId="33" applyNumberFormat="1" applyFont="1" applyFill="1" applyBorder="1" applyAlignment="1">
      <alignment horizontal="center" vertical="top"/>
    </xf>
    <xf numFmtId="178" fontId="15" fillId="0" borderId="26" xfId="33" applyNumberFormat="1" applyFont="1" applyBorder="1" applyAlignment="1">
      <alignment horizontal="center" vertical="top"/>
    </xf>
    <xf numFmtId="178" fontId="15" fillId="0" borderId="28" xfId="33" applyNumberFormat="1" applyFont="1" applyBorder="1" applyAlignment="1">
      <alignment horizontal="center" vertical="top"/>
    </xf>
    <xf numFmtId="0" fontId="19" fillId="0" borderId="0" xfId="33" applyFont="1" applyAlignment="1">
      <alignment horizontal="center" vertical="center"/>
    </xf>
    <xf numFmtId="0" fontId="9" fillId="0" borderId="0" xfId="33" applyFont="1" applyAlignment="1">
      <alignment horizontal="right" vertical="center" shrinkToFit="1"/>
    </xf>
    <xf numFmtId="178" fontId="8" fillId="6" borderId="32" xfId="33" applyNumberFormat="1" applyFont="1" applyFill="1" applyBorder="1" applyAlignment="1">
      <alignment horizontal="center" vertical="center" shrinkToFit="1"/>
    </xf>
    <xf numFmtId="178" fontId="8" fillId="6" borderId="33" xfId="33" applyNumberFormat="1" applyFont="1" applyFill="1" applyBorder="1" applyAlignment="1">
      <alignment horizontal="center" vertical="center" shrinkToFit="1"/>
    </xf>
    <xf numFmtId="178" fontId="8" fillId="6" borderId="34" xfId="33" applyNumberFormat="1" applyFont="1" applyFill="1" applyBorder="1" applyAlignment="1">
      <alignment horizontal="center" vertical="center" shrinkToFit="1"/>
    </xf>
    <xf numFmtId="178" fontId="8" fillId="6" borderId="23" xfId="33" applyNumberFormat="1" applyFont="1" applyFill="1" applyBorder="1" applyAlignment="1">
      <alignment horizontal="center" vertical="center" shrinkToFit="1"/>
    </xf>
    <xf numFmtId="178" fontId="8" fillId="6" borderId="35" xfId="33" applyNumberFormat="1" applyFont="1" applyFill="1" applyBorder="1" applyAlignment="1">
      <alignment horizontal="center" vertical="center" shrinkToFit="1"/>
    </xf>
    <xf numFmtId="178" fontId="8" fillId="6" borderId="24" xfId="33" applyNumberFormat="1" applyFont="1" applyFill="1" applyBorder="1" applyAlignment="1">
      <alignment horizontal="center" vertical="center" shrinkToFit="1"/>
    </xf>
    <xf numFmtId="178" fontId="12" fillId="8" borderId="28" xfId="33" applyNumberFormat="1" applyFont="1" applyFill="1" applyBorder="1" applyAlignment="1">
      <alignment horizontal="center" vertical="top"/>
    </xf>
    <xf numFmtId="178" fontId="12" fillId="8" borderId="27" xfId="33" applyNumberFormat="1" applyFont="1" applyFill="1" applyBorder="1" applyAlignment="1">
      <alignment horizontal="center" vertical="center"/>
    </xf>
    <xf numFmtId="178" fontId="12" fillId="8" borderId="29" xfId="33" applyNumberFormat="1" applyFont="1" applyFill="1" applyBorder="1" applyAlignment="1">
      <alignment horizontal="center" vertical="center"/>
    </xf>
    <xf numFmtId="178" fontId="12" fillId="8" borderId="31" xfId="33" applyNumberFormat="1" applyFont="1" applyFill="1" applyBorder="1" applyAlignment="1">
      <alignment horizontal="center" vertical="center"/>
    </xf>
    <xf numFmtId="178" fontId="12" fillId="8" borderId="30" xfId="33" applyNumberFormat="1" applyFont="1" applyFill="1" applyBorder="1" applyAlignment="1">
      <alignment horizontal="center" vertical="center"/>
    </xf>
    <xf numFmtId="178" fontId="12" fillId="8" borderId="39" xfId="33" applyNumberFormat="1" applyFont="1" applyFill="1" applyBorder="1" applyAlignment="1">
      <alignment horizontal="center" vertical="top"/>
    </xf>
    <xf numFmtId="178" fontId="12" fillId="8" borderId="40" xfId="33" applyNumberFormat="1" applyFont="1" applyFill="1" applyBorder="1" applyAlignment="1">
      <alignment horizontal="center" vertical="top"/>
    </xf>
    <xf numFmtId="178" fontId="12" fillId="8" borderId="28" xfId="33" applyNumberFormat="1" applyFont="1" applyFill="1" applyBorder="1" applyAlignment="1">
      <alignment horizontal="center" vertical="top" shrinkToFit="1"/>
    </xf>
    <xf numFmtId="178" fontId="15" fillId="0" borderId="26" xfId="33" applyNumberFormat="1" applyFont="1" applyBorder="1" applyAlignment="1">
      <alignment horizontal="center"/>
    </xf>
    <xf numFmtId="177" fontId="12" fillId="8" borderId="25" xfId="7" applyNumberFormat="1" applyFont="1" applyFill="1" applyBorder="1" applyAlignment="1">
      <alignment horizontal="center" vertical="center" shrinkToFit="1"/>
    </xf>
    <xf numFmtId="177" fontId="12" fillId="8" borderId="26" xfId="7" applyNumberFormat="1" applyFont="1" applyFill="1" applyBorder="1" applyAlignment="1">
      <alignment horizontal="center" vertical="center" shrinkToFit="1"/>
    </xf>
    <xf numFmtId="177" fontId="12" fillId="8" borderId="28" xfId="7" applyNumberFormat="1" applyFont="1" applyFill="1" applyBorder="1" applyAlignment="1">
      <alignment horizontal="center" vertical="center" shrinkToFit="1"/>
    </xf>
    <xf numFmtId="0" fontId="12" fillId="8" borderId="26" xfId="7" applyFont="1" applyFill="1" applyBorder="1" applyAlignment="1">
      <alignment horizontal="center" vertical="center" shrinkToFit="1"/>
    </xf>
    <xf numFmtId="0" fontId="12" fillId="8" borderId="28" xfId="7" applyFont="1" applyFill="1" applyBorder="1" applyAlignment="1">
      <alignment horizontal="center" vertical="center" shrinkToFit="1"/>
    </xf>
    <xf numFmtId="0" fontId="12" fillId="8" borderId="25" xfId="7" applyFont="1" applyFill="1" applyBorder="1" applyAlignment="1">
      <alignment horizontal="center" vertical="center" shrinkToFit="1"/>
    </xf>
    <xf numFmtId="0" fontId="19" fillId="0" borderId="0" xfId="7" applyFont="1" applyAlignment="1">
      <alignment horizontal="center" vertical="center"/>
    </xf>
    <xf numFmtId="0" fontId="8" fillId="6" borderId="32" xfId="7" applyFont="1" applyFill="1" applyBorder="1" applyAlignment="1">
      <alignment horizontal="center" vertical="center" shrinkToFit="1"/>
    </xf>
    <xf numFmtId="0" fontId="8" fillId="6" borderId="33" xfId="7" applyFont="1" applyFill="1" applyBorder="1" applyAlignment="1">
      <alignment horizontal="center" vertical="center" shrinkToFit="1"/>
    </xf>
    <xf numFmtId="0" fontId="8" fillId="6" borderId="34" xfId="7" applyFont="1" applyFill="1" applyBorder="1" applyAlignment="1">
      <alignment horizontal="center" vertical="center" shrinkToFit="1"/>
    </xf>
    <xf numFmtId="0" fontId="8" fillId="6" borderId="23" xfId="7" applyFont="1" applyFill="1" applyBorder="1" applyAlignment="1">
      <alignment horizontal="center" vertical="center" shrinkToFit="1"/>
    </xf>
    <xf numFmtId="0" fontId="8" fillId="6" borderId="35" xfId="7" applyFont="1" applyFill="1" applyBorder="1" applyAlignment="1">
      <alignment horizontal="center" vertical="center" shrinkToFit="1"/>
    </xf>
    <xf numFmtId="0" fontId="8" fillId="6" borderId="24" xfId="7" applyFont="1" applyFill="1" applyBorder="1" applyAlignment="1">
      <alignment horizontal="center" vertical="center" shrinkToFit="1"/>
    </xf>
    <xf numFmtId="0" fontId="12" fillId="8" borderId="25" xfId="7" applyFont="1" applyFill="1" applyBorder="1" applyAlignment="1">
      <alignment horizontal="center" vertical="center"/>
    </xf>
    <xf numFmtId="0" fontId="15" fillId="0" borderId="26" xfId="7" applyFont="1" applyBorder="1" applyAlignment="1">
      <alignment horizontal="center" vertical="center"/>
    </xf>
    <xf numFmtId="0" fontId="15" fillId="0" borderId="28" xfId="7" applyFont="1" applyBorder="1" applyAlignment="1">
      <alignment horizontal="center" vertical="center"/>
    </xf>
    <xf numFmtId="176" fontId="12" fillId="8" borderId="25" xfId="7" applyNumberFormat="1" applyFont="1" applyFill="1" applyBorder="1" applyAlignment="1">
      <alignment horizontal="center" vertical="center" shrinkToFit="1"/>
    </xf>
    <xf numFmtId="176" fontId="12" fillId="8" borderId="26" xfId="7" applyNumberFormat="1" applyFont="1" applyFill="1" applyBorder="1" applyAlignment="1">
      <alignment horizontal="center" vertical="center" shrinkToFit="1"/>
    </xf>
    <xf numFmtId="176" fontId="12" fillId="8" borderId="28" xfId="7" applyNumberFormat="1" applyFont="1" applyFill="1" applyBorder="1" applyAlignment="1">
      <alignment horizontal="center" vertical="center" shrinkToFit="1"/>
    </xf>
    <xf numFmtId="0" fontId="12" fillId="8" borderId="27" xfId="7" applyFont="1" applyFill="1" applyBorder="1" applyAlignment="1">
      <alignment horizontal="center" vertical="center" shrinkToFit="1"/>
    </xf>
    <xf numFmtId="41" fontId="25" fillId="0" borderId="1" xfId="1" applyFont="1" applyBorder="1" applyAlignment="1">
      <alignment vertical="center"/>
    </xf>
    <xf numFmtId="41" fontId="14" fillId="0" borderId="3" xfId="1" applyNumberFormat="1" applyFont="1" applyFill="1" applyBorder="1" applyAlignment="1">
      <alignment vertical="center"/>
    </xf>
    <xf numFmtId="41" fontId="21" fillId="0" borderId="1" xfId="1" applyNumberFormat="1" applyFont="1" applyBorder="1" applyAlignment="1">
      <alignment vertical="center"/>
    </xf>
    <xf numFmtId="41" fontId="14" fillId="0" borderId="2" xfId="1" applyNumberFormat="1" applyFont="1" applyFill="1" applyBorder="1" applyAlignment="1">
      <alignment vertical="center" shrinkToFit="1"/>
    </xf>
    <xf numFmtId="41" fontId="5" fillId="0" borderId="1" xfId="1" applyFont="1" applyFill="1" applyBorder="1" applyAlignment="1">
      <alignment vertical="center" shrinkToFit="1"/>
    </xf>
    <xf numFmtId="41" fontId="5" fillId="0" borderId="1" xfId="1" applyFont="1" applyBorder="1" applyAlignment="1">
      <alignment vertical="center" shrinkToFit="1"/>
    </xf>
    <xf numFmtId="41" fontId="5" fillId="2" borderId="1" xfId="1" applyFont="1" applyFill="1" applyBorder="1" applyAlignment="1">
      <alignment vertical="center" shrinkToFit="1"/>
    </xf>
    <xf numFmtId="41" fontId="5" fillId="0" borderId="1" xfId="8" applyNumberFormat="1" applyFont="1" applyBorder="1" applyAlignment="1">
      <alignment vertical="center" shrinkToFit="1"/>
    </xf>
    <xf numFmtId="41" fontId="5" fillId="0" borderId="3" xfId="8" applyNumberFormat="1" applyFont="1" applyBorder="1" applyAlignment="1">
      <alignment vertical="center" shrinkToFit="1"/>
    </xf>
    <xf numFmtId="41" fontId="5" fillId="0" borderId="17" xfId="8" applyNumberFormat="1" applyFont="1" applyBorder="1" applyAlignment="1">
      <alignment vertical="center" shrinkToFit="1"/>
    </xf>
    <xf numFmtId="41" fontId="14" fillId="7" borderId="1" xfId="1" applyNumberFormat="1" applyFont="1" applyFill="1" applyBorder="1" applyAlignment="1">
      <alignment vertical="center" shrinkToFit="1"/>
    </xf>
    <xf numFmtId="41" fontId="22" fillId="2" borderId="1" xfId="1" applyNumberFormat="1" applyFont="1" applyFill="1" applyBorder="1" applyAlignment="1">
      <alignment vertical="center"/>
    </xf>
    <xf numFmtId="41" fontId="23" fillId="9" borderId="17" xfId="0" applyNumberFormat="1" applyFont="1" applyFill="1" applyBorder="1" applyAlignment="1">
      <alignment vertical="center"/>
    </xf>
    <xf numFmtId="41" fontId="14" fillId="2" borderId="1" xfId="1" applyNumberFormat="1" applyFont="1" applyFill="1" applyBorder="1" applyAlignment="1">
      <alignment vertical="center" shrinkToFit="1"/>
    </xf>
    <xf numFmtId="41" fontId="5" fillId="0" borderId="3" xfId="1" applyFont="1" applyBorder="1" applyAlignment="1">
      <alignment vertical="center" shrinkToFit="1"/>
    </xf>
    <xf numFmtId="41" fontId="5" fillId="0" borderId="2" xfId="1" applyFont="1" applyBorder="1" applyAlignment="1">
      <alignment vertical="center" shrinkToFit="1"/>
    </xf>
    <xf numFmtId="41" fontId="5" fillId="0" borderId="17" xfId="1" applyFont="1" applyBorder="1" applyAlignment="1">
      <alignment vertical="center" shrinkToFit="1"/>
    </xf>
    <xf numFmtId="41" fontId="14" fillId="2" borderId="1" xfId="1" applyNumberFormat="1" applyFont="1" applyFill="1" applyBorder="1" applyAlignment="1">
      <alignment vertical="center"/>
    </xf>
    <xf numFmtId="41" fontId="14" fillId="2" borderId="3" xfId="1" applyNumberFormat="1" applyFont="1" applyFill="1" applyBorder="1" applyAlignment="1">
      <alignment vertical="center"/>
    </xf>
    <xf numFmtId="41" fontId="21" fillId="2" borderId="1" xfId="1" applyNumberFormat="1" applyFont="1" applyFill="1" applyBorder="1" applyAlignment="1">
      <alignment vertical="center" shrinkToFit="1"/>
    </xf>
    <xf numFmtId="41" fontId="14" fillId="2" borderId="2" xfId="1" applyNumberFormat="1" applyFont="1" applyFill="1" applyBorder="1" applyAlignment="1">
      <alignment vertical="center"/>
    </xf>
    <xf numFmtId="41" fontId="5" fillId="2" borderId="2" xfId="0" applyNumberFormat="1" applyFont="1" applyFill="1" applyBorder="1" applyAlignment="1">
      <alignment vertical="center"/>
    </xf>
    <xf numFmtId="41" fontId="6" fillId="9" borderId="17" xfId="0" applyNumberFormat="1" applyFont="1" applyFill="1" applyBorder="1" applyAlignment="1">
      <alignment vertical="center"/>
    </xf>
    <xf numFmtId="41" fontId="6" fillId="9" borderId="1" xfId="0" applyNumberFormat="1" applyFont="1" applyFill="1" applyBorder="1" applyAlignment="1">
      <alignment horizontal="right" vertical="center"/>
    </xf>
    <xf numFmtId="41" fontId="21" fillId="0" borderId="1" xfId="1" applyNumberFormat="1" applyFont="1" applyFill="1" applyBorder="1" applyAlignment="1">
      <alignment vertical="center" shrinkToFit="1"/>
    </xf>
    <xf numFmtId="41" fontId="21" fillId="2" borderId="2" xfId="1" applyNumberFormat="1" applyFont="1" applyFill="1" applyBorder="1" applyAlignment="1">
      <alignment vertical="center"/>
    </xf>
    <xf numFmtId="41" fontId="24" fillId="9" borderId="44" xfId="0" applyNumberFormat="1" applyFont="1" applyFill="1" applyBorder="1" applyAlignment="1">
      <alignment vertical="center"/>
    </xf>
    <xf numFmtId="41" fontId="24" fillId="9" borderId="45" xfId="0" applyNumberFormat="1" applyFont="1" applyFill="1" applyBorder="1" applyAlignment="1">
      <alignment vertical="center"/>
    </xf>
    <xf numFmtId="41" fontId="14" fillId="0" borderId="1" xfId="1" applyNumberFormat="1" applyFont="1" applyFill="1" applyBorder="1" applyAlignment="1">
      <alignment vertical="center" shrinkToFit="1"/>
    </xf>
    <xf numFmtId="41" fontId="5" fillId="0" borderId="2" xfId="0" applyNumberFormat="1" applyFont="1" applyBorder="1" applyAlignment="1">
      <alignment vertical="center"/>
    </xf>
    <xf numFmtId="41" fontId="25" fillId="0" borderId="17" xfId="1" applyNumberFormat="1" applyFont="1" applyBorder="1" applyAlignment="1">
      <alignment horizontal="right" vertical="center" shrinkToFit="1"/>
    </xf>
    <xf numFmtId="41" fontId="5" fillId="0" borderId="17" xfId="0" applyNumberFormat="1" applyFont="1" applyBorder="1" applyAlignment="1">
      <alignment vertical="center"/>
    </xf>
    <xf numFmtId="41" fontId="5" fillId="0" borderId="15" xfId="1" applyFont="1" applyBorder="1" applyAlignment="1">
      <alignment vertical="center" shrinkToFit="1"/>
    </xf>
    <xf numFmtId="41" fontId="14" fillId="0" borderId="1" xfId="1" applyNumberFormat="1" applyFont="1" applyFill="1" applyBorder="1" applyAlignment="1">
      <alignment vertical="center"/>
    </xf>
    <xf numFmtId="41" fontId="14" fillId="0" borderId="23" xfId="1" applyNumberFormat="1" applyFont="1" applyFill="1" applyBorder="1" applyAlignment="1">
      <alignment vertical="center" shrinkToFit="1"/>
    </xf>
    <xf numFmtId="41" fontId="6" fillId="9" borderId="23" xfId="0" applyNumberFormat="1" applyFont="1" applyFill="1" applyBorder="1" applyAlignment="1">
      <alignment vertical="center"/>
    </xf>
    <xf numFmtId="41" fontId="14" fillId="2" borderId="23" xfId="1" applyNumberFormat="1" applyFont="1" applyFill="1" applyBorder="1" applyAlignment="1">
      <alignment vertical="center"/>
    </xf>
    <xf numFmtId="41" fontId="5" fillId="2" borderId="1" xfId="0" applyNumberFormat="1" applyFont="1" applyFill="1" applyBorder="1" applyAlignment="1">
      <alignment vertical="center"/>
    </xf>
    <xf numFmtId="41" fontId="14" fillId="2" borderId="17" xfId="1" applyNumberFormat="1" applyFont="1" applyFill="1" applyBorder="1" applyAlignment="1">
      <alignment vertical="center"/>
    </xf>
    <xf numFmtId="41" fontId="5" fillId="0" borderId="2" xfId="37" applyNumberFormat="1" applyFont="1" applyBorder="1" applyAlignment="1">
      <alignment vertical="center"/>
    </xf>
    <xf numFmtId="41" fontId="5" fillId="0" borderId="15" xfId="37" applyNumberFormat="1" applyFont="1" applyBorder="1" applyAlignment="1">
      <alignment vertical="center"/>
    </xf>
    <xf numFmtId="41" fontId="5" fillId="0" borderId="3" xfId="37" applyNumberFormat="1" applyFont="1" applyBorder="1" applyAlignment="1">
      <alignment vertical="center"/>
    </xf>
    <xf numFmtId="41" fontId="5" fillId="0" borderId="17" xfId="37" applyNumberFormat="1" applyFont="1" applyBorder="1" applyAlignment="1">
      <alignment vertical="center"/>
    </xf>
    <xf numFmtId="41" fontId="14" fillId="0" borderId="17" xfId="1" applyNumberFormat="1" applyFont="1" applyFill="1" applyBorder="1" applyAlignment="1">
      <alignment vertical="center"/>
    </xf>
    <xf numFmtId="41" fontId="5" fillId="0" borderId="1" xfId="1" applyNumberFormat="1" applyFont="1" applyBorder="1" applyAlignment="1">
      <alignment vertical="center" shrinkToFit="1"/>
    </xf>
    <xf numFmtId="41" fontId="13" fillId="0" borderId="1" xfId="1" applyNumberFormat="1" applyFont="1" applyFill="1" applyBorder="1" applyAlignment="1">
      <alignment vertical="center" shrinkToFit="1"/>
    </xf>
    <xf numFmtId="41" fontId="5" fillId="0" borderId="2" xfId="1" applyNumberFormat="1" applyFont="1" applyBorder="1" applyAlignment="1">
      <alignment vertical="center" shrinkToFit="1"/>
    </xf>
    <xf numFmtId="41" fontId="13" fillId="0" borderId="2" xfId="1" applyNumberFormat="1" applyFont="1" applyFill="1" applyBorder="1" applyAlignment="1">
      <alignment vertical="center" shrinkToFit="1"/>
    </xf>
    <xf numFmtId="41" fontId="5" fillId="0" borderId="3" xfId="1" applyNumberFormat="1" applyFont="1" applyBorder="1" applyAlignment="1">
      <alignment vertical="center" shrinkToFit="1"/>
    </xf>
    <xf numFmtId="41" fontId="13" fillId="0" borderId="3" xfId="1" applyNumberFormat="1" applyFont="1" applyFill="1" applyBorder="1" applyAlignment="1">
      <alignment vertical="center" shrinkToFit="1"/>
    </xf>
    <xf numFmtId="41" fontId="5" fillId="0" borderId="1" xfId="1" applyNumberFormat="1" applyFont="1" applyFill="1" applyBorder="1" applyAlignment="1">
      <alignment vertical="center" shrinkToFit="1"/>
    </xf>
    <xf numFmtId="41" fontId="5" fillId="0" borderId="15" xfId="1" applyNumberFormat="1" applyFont="1" applyBorder="1" applyAlignment="1">
      <alignment vertical="center" shrinkToFit="1"/>
    </xf>
    <xf numFmtId="41" fontId="13" fillId="0" borderId="15" xfId="1" applyNumberFormat="1" applyFont="1" applyFill="1" applyBorder="1" applyAlignment="1">
      <alignment vertical="center" shrinkToFit="1"/>
    </xf>
    <xf numFmtId="41" fontId="5" fillId="0" borderId="17" xfId="1" applyNumberFormat="1" applyFont="1" applyBorder="1" applyAlignment="1">
      <alignment vertical="center" shrinkToFit="1"/>
    </xf>
    <xf numFmtId="41" fontId="13" fillId="0" borderId="17" xfId="1" applyNumberFormat="1" applyFont="1" applyBorder="1" applyAlignment="1">
      <alignment vertical="center" shrinkToFit="1"/>
    </xf>
    <xf numFmtId="41" fontId="26" fillId="9" borderId="2" xfId="0" applyNumberFormat="1" applyFont="1" applyFill="1" applyBorder="1" applyAlignment="1">
      <alignment vertical="center"/>
    </xf>
    <xf numFmtId="41" fontId="26" fillId="9" borderId="17" xfId="0" applyNumberFormat="1" applyFont="1" applyFill="1" applyBorder="1" applyAlignment="1">
      <alignment vertical="center"/>
    </xf>
    <xf numFmtId="41" fontId="24" fillId="9" borderId="2" xfId="0" applyNumberFormat="1" applyFont="1" applyFill="1" applyBorder="1" applyAlignment="1">
      <alignment vertical="center"/>
    </xf>
  </cellXfs>
  <cellStyles count="43">
    <cellStyle name="백분율 2" xfId="42" xr:uid="{C39F7978-7CB3-47F0-8098-8C3DE0AA6B7E}"/>
    <cellStyle name="쉼표 [0]" xfId="1" builtinId="6"/>
    <cellStyle name="쉼표 [0] 2" xfId="2" xr:uid="{00000000-0005-0000-0000-000001000000}"/>
    <cellStyle name="쉼표 [0] 2 2" xfId="3" xr:uid="{00000000-0005-0000-0000-000002000000}"/>
    <cellStyle name="쉼표 [0] 3" xfId="4" xr:uid="{00000000-0005-0000-0000-000003000000}"/>
    <cellStyle name="쉼표 [0] 4" xfId="5" xr:uid="{00000000-0005-0000-0000-000004000000}"/>
    <cellStyle name="쉼표 [0] 5" xfId="40" xr:uid="{76A59FC9-29BB-4DF5-BAB1-8C693341E0AE}"/>
    <cellStyle name="표준" xfId="0" builtinId="0"/>
    <cellStyle name="표준 10" xfId="6" xr:uid="{00000000-0005-0000-0000-000006000000}"/>
    <cellStyle name="표준 11" xfId="7" xr:uid="{00000000-0005-0000-0000-000007000000}"/>
    <cellStyle name="표준 11 2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0" xfId="19" xr:uid="{00000000-0005-0000-0000-000013000000}"/>
    <cellStyle name="표준 21" xfId="20" xr:uid="{00000000-0005-0000-0000-000014000000}"/>
    <cellStyle name="표준 22" xfId="21" xr:uid="{00000000-0005-0000-0000-000015000000}"/>
    <cellStyle name="표준 23" xfId="22" xr:uid="{00000000-0005-0000-0000-000016000000}"/>
    <cellStyle name="표준 24" xfId="23" xr:uid="{00000000-0005-0000-0000-000017000000}"/>
    <cellStyle name="표준 25" xfId="39" xr:uid="{00000000-0005-0000-0000-000018000000}"/>
    <cellStyle name="표준 26" xfId="41" xr:uid="{DF11B44D-7937-414A-950A-A8A47D53117B}"/>
    <cellStyle name="표준 27" xfId="24" xr:uid="{00000000-0005-0000-0000-000019000000}"/>
    <cellStyle name="표준 28" xfId="25" xr:uid="{00000000-0005-0000-0000-00001A000000}"/>
    <cellStyle name="표준 29" xfId="26" xr:uid="{00000000-0005-0000-0000-00001B000000}"/>
    <cellStyle name="표준 3" xfId="27" xr:uid="{00000000-0005-0000-0000-00001C000000}"/>
    <cellStyle name="표준 3 2" xfId="28" xr:uid="{00000000-0005-0000-0000-00001D000000}"/>
    <cellStyle name="표준 4" xfId="29" xr:uid="{00000000-0005-0000-0000-00001E000000}"/>
    <cellStyle name="표준 4 2" xfId="30" xr:uid="{00000000-0005-0000-0000-00001F000000}"/>
    <cellStyle name="표준 43" xfId="31" xr:uid="{00000000-0005-0000-0000-000020000000}"/>
    <cellStyle name="표준 48" xfId="32" xr:uid="{00000000-0005-0000-0000-000021000000}"/>
    <cellStyle name="표준 5" xfId="33" xr:uid="{00000000-0005-0000-0000-000022000000}"/>
    <cellStyle name="표준 6" xfId="34" xr:uid="{00000000-0005-0000-0000-000023000000}"/>
    <cellStyle name="표준 7" xfId="35" xr:uid="{00000000-0005-0000-0000-000024000000}"/>
    <cellStyle name="표준 70" xfId="36" xr:uid="{00000000-0005-0000-0000-000025000000}"/>
    <cellStyle name="표준 8" xfId="37" xr:uid="{00000000-0005-0000-0000-000026000000}"/>
    <cellStyle name="표준 9" xfId="38" xr:uid="{00000000-0005-0000-0000-00002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defaultGridColor="0" view="pageBreakPreview" colorId="0" workbookViewId="0"/>
  </sheetViews>
  <sheetFormatPr defaultRowHeight="13.5" x14ac:dyDescent="0.15"/>
  <sheetData/>
  <phoneticPr fontId="3" type="noConversion"/>
  <pageMargins left="0.7" right="0.7" top="0.75" bottom="0.75" header="0.3" footer="0.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J1284"/>
  <sheetViews>
    <sheetView tabSelected="1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K10" sqref="K10"/>
    </sheetView>
  </sheetViews>
  <sheetFormatPr defaultRowHeight="22.5" customHeight="1" x14ac:dyDescent="0.15"/>
  <cols>
    <col min="1" max="1" width="13.33203125" style="79" customWidth="1"/>
    <col min="2" max="2" width="14.88671875" style="79" customWidth="1"/>
    <col min="3" max="3" width="12.44140625" style="79" customWidth="1"/>
    <col min="4" max="4" width="11.6640625" style="82" customWidth="1"/>
    <col min="5" max="6" width="9.6640625" style="79" customWidth="1"/>
    <col min="7" max="7" width="9.77734375" style="79" customWidth="1"/>
    <col min="8" max="8" width="13.5546875" style="79" customWidth="1"/>
    <col min="9" max="256" width="8.88671875" style="79"/>
    <col min="257" max="257" width="13.33203125" style="79" customWidth="1"/>
    <col min="258" max="258" width="14.88671875" style="79" customWidth="1"/>
    <col min="259" max="259" width="12.44140625" style="79" customWidth="1"/>
    <col min="260" max="260" width="11.6640625" style="79" customWidth="1"/>
    <col min="261" max="262" width="9.6640625" style="79" customWidth="1"/>
    <col min="263" max="263" width="9.77734375" style="79" customWidth="1"/>
    <col min="264" max="264" width="13.5546875" style="79" customWidth="1"/>
    <col min="265" max="512" width="8.88671875" style="79"/>
    <col min="513" max="513" width="13.33203125" style="79" customWidth="1"/>
    <col min="514" max="514" width="14.88671875" style="79" customWidth="1"/>
    <col min="515" max="515" width="12.44140625" style="79" customWidth="1"/>
    <col min="516" max="516" width="11.6640625" style="79" customWidth="1"/>
    <col min="517" max="518" width="9.6640625" style="79" customWidth="1"/>
    <col min="519" max="519" width="9.77734375" style="79" customWidth="1"/>
    <col min="520" max="520" width="13.5546875" style="79" customWidth="1"/>
    <col min="521" max="768" width="8.88671875" style="79"/>
    <col min="769" max="769" width="13.33203125" style="79" customWidth="1"/>
    <col min="770" max="770" width="14.88671875" style="79" customWidth="1"/>
    <col min="771" max="771" width="12.44140625" style="79" customWidth="1"/>
    <col min="772" max="772" width="11.6640625" style="79" customWidth="1"/>
    <col min="773" max="774" width="9.6640625" style="79" customWidth="1"/>
    <col min="775" max="775" width="9.77734375" style="79" customWidth="1"/>
    <col min="776" max="776" width="13.5546875" style="79" customWidth="1"/>
    <col min="777" max="1024" width="8.88671875" style="79"/>
    <col min="1025" max="1025" width="13.33203125" style="79" customWidth="1"/>
    <col min="1026" max="1026" width="14.88671875" style="79" customWidth="1"/>
    <col min="1027" max="1027" width="12.44140625" style="79" customWidth="1"/>
    <col min="1028" max="1028" width="11.6640625" style="79" customWidth="1"/>
    <col min="1029" max="1030" width="9.6640625" style="79" customWidth="1"/>
    <col min="1031" max="1031" width="9.77734375" style="79" customWidth="1"/>
    <col min="1032" max="1032" width="13.5546875" style="79" customWidth="1"/>
    <col min="1033" max="1280" width="8.88671875" style="79"/>
    <col min="1281" max="1281" width="13.33203125" style="79" customWidth="1"/>
    <col min="1282" max="1282" width="14.88671875" style="79" customWidth="1"/>
    <col min="1283" max="1283" width="12.44140625" style="79" customWidth="1"/>
    <col min="1284" max="1284" width="11.6640625" style="79" customWidth="1"/>
    <col min="1285" max="1286" width="9.6640625" style="79" customWidth="1"/>
    <col min="1287" max="1287" width="9.77734375" style="79" customWidth="1"/>
    <col min="1288" max="1288" width="13.5546875" style="79" customWidth="1"/>
    <col min="1289" max="1536" width="8.88671875" style="79"/>
    <col min="1537" max="1537" width="13.33203125" style="79" customWidth="1"/>
    <col min="1538" max="1538" width="14.88671875" style="79" customWidth="1"/>
    <col min="1539" max="1539" width="12.44140625" style="79" customWidth="1"/>
    <col min="1540" max="1540" width="11.6640625" style="79" customWidth="1"/>
    <col min="1541" max="1542" width="9.6640625" style="79" customWidth="1"/>
    <col min="1543" max="1543" width="9.77734375" style="79" customWidth="1"/>
    <col min="1544" max="1544" width="13.5546875" style="79" customWidth="1"/>
    <col min="1545" max="1792" width="8.88671875" style="79"/>
    <col min="1793" max="1793" width="13.33203125" style="79" customWidth="1"/>
    <col min="1794" max="1794" width="14.88671875" style="79" customWidth="1"/>
    <col min="1795" max="1795" width="12.44140625" style="79" customWidth="1"/>
    <col min="1796" max="1796" width="11.6640625" style="79" customWidth="1"/>
    <col min="1797" max="1798" width="9.6640625" style="79" customWidth="1"/>
    <col min="1799" max="1799" width="9.77734375" style="79" customWidth="1"/>
    <col min="1800" max="1800" width="13.5546875" style="79" customWidth="1"/>
    <col min="1801" max="2048" width="8.88671875" style="79"/>
    <col min="2049" max="2049" width="13.33203125" style="79" customWidth="1"/>
    <col min="2050" max="2050" width="14.88671875" style="79" customWidth="1"/>
    <col min="2051" max="2051" width="12.44140625" style="79" customWidth="1"/>
    <col min="2052" max="2052" width="11.6640625" style="79" customWidth="1"/>
    <col min="2053" max="2054" width="9.6640625" style="79" customWidth="1"/>
    <col min="2055" max="2055" width="9.77734375" style="79" customWidth="1"/>
    <col min="2056" max="2056" width="13.5546875" style="79" customWidth="1"/>
    <col min="2057" max="2304" width="8.88671875" style="79"/>
    <col min="2305" max="2305" width="13.33203125" style="79" customWidth="1"/>
    <col min="2306" max="2306" width="14.88671875" style="79" customWidth="1"/>
    <col min="2307" max="2307" width="12.44140625" style="79" customWidth="1"/>
    <col min="2308" max="2308" width="11.6640625" style="79" customWidth="1"/>
    <col min="2309" max="2310" width="9.6640625" style="79" customWidth="1"/>
    <col min="2311" max="2311" width="9.77734375" style="79" customWidth="1"/>
    <col min="2312" max="2312" width="13.5546875" style="79" customWidth="1"/>
    <col min="2313" max="2560" width="8.88671875" style="79"/>
    <col min="2561" max="2561" width="13.33203125" style="79" customWidth="1"/>
    <col min="2562" max="2562" width="14.88671875" style="79" customWidth="1"/>
    <col min="2563" max="2563" width="12.44140625" style="79" customWidth="1"/>
    <col min="2564" max="2564" width="11.6640625" style="79" customWidth="1"/>
    <col min="2565" max="2566" width="9.6640625" style="79" customWidth="1"/>
    <col min="2567" max="2567" width="9.77734375" style="79" customWidth="1"/>
    <col min="2568" max="2568" width="13.5546875" style="79" customWidth="1"/>
    <col min="2569" max="2816" width="8.88671875" style="79"/>
    <col min="2817" max="2817" width="13.33203125" style="79" customWidth="1"/>
    <col min="2818" max="2818" width="14.88671875" style="79" customWidth="1"/>
    <col min="2819" max="2819" width="12.44140625" style="79" customWidth="1"/>
    <col min="2820" max="2820" width="11.6640625" style="79" customWidth="1"/>
    <col min="2821" max="2822" width="9.6640625" style="79" customWidth="1"/>
    <col min="2823" max="2823" width="9.77734375" style="79" customWidth="1"/>
    <col min="2824" max="2824" width="13.5546875" style="79" customWidth="1"/>
    <col min="2825" max="3072" width="8.88671875" style="79"/>
    <col min="3073" max="3073" width="13.33203125" style="79" customWidth="1"/>
    <col min="3074" max="3074" width="14.88671875" style="79" customWidth="1"/>
    <col min="3075" max="3075" width="12.44140625" style="79" customWidth="1"/>
    <col min="3076" max="3076" width="11.6640625" style="79" customWidth="1"/>
    <col min="3077" max="3078" width="9.6640625" style="79" customWidth="1"/>
    <col min="3079" max="3079" width="9.77734375" style="79" customWidth="1"/>
    <col min="3080" max="3080" width="13.5546875" style="79" customWidth="1"/>
    <col min="3081" max="3328" width="8.88671875" style="79"/>
    <col min="3329" max="3329" width="13.33203125" style="79" customWidth="1"/>
    <col min="3330" max="3330" width="14.88671875" style="79" customWidth="1"/>
    <col min="3331" max="3331" width="12.44140625" style="79" customWidth="1"/>
    <col min="3332" max="3332" width="11.6640625" style="79" customWidth="1"/>
    <col min="3333" max="3334" width="9.6640625" style="79" customWidth="1"/>
    <col min="3335" max="3335" width="9.77734375" style="79" customWidth="1"/>
    <col min="3336" max="3336" width="13.5546875" style="79" customWidth="1"/>
    <col min="3337" max="3584" width="8.88671875" style="79"/>
    <col min="3585" max="3585" width="13.33203125" style="79" customWidth="1"/>
    <col min="3586" max="3586" width="14.88671875" style="79" customWidth="1"/>
    <col min="3587" max="3587" width="12.44140625" style="79" customWidth="1"/>
    <col min="3588" max="3588" width="11.6640625" style="79" customWidth="1"/>
    <col min="3589" max="3590" width="9.6640625" style="79" customWidth="1"/>
    <col min="3591" max="3591" width="9.77734375" style="79" customWidth="1"/>
    <col min="3592" max="3592" width="13.5546875" style="79" customWidth="1"/>
    <col min="3593" max="3840" width="8.88671875" style="79"/>
    <col min="3841" max="3841" width="13.33203125" style="79" customWidth="1"/>
    <col min="3842" max="3842" width="14.88671875" style="79" customWidth="1"/>
    <col min="3843" max="3843" width="12.44140625" style="79" customWidth="1"/>
    <col min="3844" max="3844" width="11.6640625" style="79" customWidth="1"/>
    <col min="3845" max="3846" width="9.6640625" style="79" customWidth="1"/>
    <col min="3847" max="3847" width="9.77734375" style="79" customWidth="1"/>
    <col min="3848" max="3848" width="13.5546875" style="79" customWidth="1"/>
    <col min="3849" max="4096" width="8.88671875" style="79"/>
    <col min="4097" max="4097" width="13.33203125" style="79" customWidth="1"/>
    <col min="4098" max="4098" width="14.88671875" style="79" customWidth="1"/>
    <col min="4099" max="4099" width="12.44140625" style="79" customWidth="1"/>
    <col min="4100" max="4100" width="11.6640625" style="79" customWidth="1"/>
    <col min="4101" max="4102" width="9.6640625" style="79" customWidth="1"/>
    <col min="4103" max="4103" width="9.77734375" style="79" customWidth="1"/>
    <col min="4104" max="4104" width="13.5546875" style="79" customWidth="1"/>
    <col min="4105" max="4352" width="8.88671875" style="79"/>
    <col min="4353" max="4353" width="13.33203125" style="79" customWidth="1"/>
    <col min="4354" max="4354" width="14.88671875" style="79" customWidth="1"/>
    <col min="4355" max="4355" width="12.44140625" style="79" customWidth="1"/>
    <col min="4356" max="4356" width="11.6640625" style="79" customWidth="1"/>
    <col min="4357" max="4358" width="9.6640625" style="79" customWidth="1"/>
    <col min="4359" max="4359" width="9.77734375" style="79" customWidth="1"/>
    <col min="4360" max="4360" width="13.5546875" style="79" customWidth="1"/>
    <col min="4361" max="4608" width="8.88671875" style="79"/>
    <col min="4609" max="4609" width="13.33203125" style="79" customWidth="1"/>
    <col min="4610" max="4610" width="14.88671875" style="79" customWidth="1"/>
    <col min="4611" max="4611" width="12.44140625" style="79" customWidth="1"/>
    <col min="4612" max="4612" width="11.6640625" style="79" customWidth="1"/>
    <col min="4613" max="4614" width="9.6640625" style="79" customWidth="1"/>
    <col min="4615" max="4615" width="9.77734375" style="79" customWidth="1"/>
    <col min="4616" max="4616" width="13.5546875" style="79" customWidth="1"/>
    <col min="4617" max="4864" width="8.88671875" style="79"/>
    <col min="4865" max="4865" width="13.33203125" style="79" customWidth="1"/>
    <col min="4866" max="4866" width="14.88671875" style="79" customWidth="1"/>
    <col min="4867" max="4867" width="12.44140625" style="79" customWidth="1"/>
    <col min="4868" max="4868" width="11.6640625" style="79" customWidth="1"/>
    <col min="4869" max="4870" width="9.6640625" style="79" customWidth="1"/>
    <col min="4871" max="4871" width="9.77734375" style="79" customWidth="1"/>
    <col min="4872" max="4872" width="13.5546875" style="79" customWidth="1"/>
    <col min="4873" max="5120" width="8.88671875" style="79"/>
    <col min="5121" max="5121" width="13.33203125" style="79" customWidth="1"/>
    <col min="5122" max="5122" width="14.88671875" style="79" customWidth="1"/>
    <col min="5123" max="5123" width="12.44140625" style="79" customWidth="1"/>
    <col min="5124" max="5124" width="11.6640625" style="79" customWidth="1"/>
    <col min="5125" max="5126" width="9.6640625" style="79" customWidth="1"/>
    <col min="5127" max="5127" width="9.77734375" style="79" customWidth="1"/>
    <col min="5128" max="5128" width="13.5546875" style="79" customWidth="1"/>
    <col min="5129" max="5376" width="8.88671875" style="79"/>
    <col min="5377" max="5377" width="13.33203125" style="79" customWidth="1"/>
    <col min="5378" max="5378" width="14.88671875" style="79" customWidth="1"/>
    <col min="5379" max="5379" width="12.44140625" style="79" customWidth="1"/>
    <col min="5380" max="5380" width="11.6640625" style="79" customWidth="1"/>
    <col min="5381" max="5382" width="9.6640625" style="79" customWidth="1"/>
    <col min="5383" max="5383" width="9.77734375" style="79" customWidth="1"/>
    <col min="5384" max="5384" width="13.5546875" style="79" customWidth="1"/>
    <col min="5385" max="5632" width="8.88671875" style="79"/>
    <col min="5633" max="5633" width="13.33203125" style="79" customWidth="1"/>
    <col min="5634" max="5634" width="14.88671875" style="79" customWidth="1"/>
    <col min="5635" max="5635" width="12.44140625" style="79" customWidth="1"/>
    <col min="5636" max="5636" width="11.6640625" style="79" customWidth="1"/>
    <col min="5637" max="5638" width="9.6640625" style="79" customWidth="1"/>
    <col min="5639" max="5639" width="9.77734375" style="79" customWidth="1"/>
    <col min="5640" max="5640" width="13.5546875" style="79" customWidth="1"/>
    <col min="5641" max="5888" width="8.88671875" style="79"/>
    <col min="5889" max="5889" width="13.33203125" style="79" customWidth="1"/>
    <col min="5890" max="5890" width="14.88671875" style="79" customWidth="1"/>
    <col min="5891" max="5891" width="12.44140625" style="79" customWidth="1"/>
    <col min="5892" max="5892" width="11.6640625" style="79" customWidth="1"/>
    <col min="5893" max="5894" width="9.6640625" style="79" customWidth="1"/>
    <col min="5895" max="5895" width="9.77734375" style="79" customWidth="1"/>
    <col min="5896" max="5896" width="13.5546875" style="79" customWidth="1"/>
    <col min="5897" max="6144" width="8.88671875" style="79"/>
    <col min="6145" max="6145" width="13.33203125" style="79" customWidth="1"/>
    <col min="6146" max="6146" width="14.88671875" style="79" customWidth="1"/>
    <col min="6147" max="6147" width="12.44140625" style="79" customWidth="1"/>
    <col min="6148" max="6148" width="11.6640625" style="79" customWidth="1"/>
    <col min="6149" max="6150" width="9.6640625" style="79" customWidth="1"/>
    <col min="6151" max="6151" width="9.77734375" style="79" customWidth="1"/>
    <col min="6152" max="6152" width="13.5546875" style="79" customWidth="1"/>
    <col min="6153" max="6400" width="8.88671875" style="79"/>
    <col min="6401" max="6401" width="13.33203125" style="79" customWidth="1"/>
    <col min="6402" max="6402" width="14.88671875" style="79" customWidth="1"/>
    <col min="6403" max="6403" width="12.44140625" style="79" customWidth="1"/>
    <col min="6404" max="6404" width="11.6640625" style="79" customWidth="1"/>
    <col min="6405" max="6406" width="9.6640625" style="79" customWidth="1"/>
    <col min="6407" max="6407" width="9.77734375" style="79" customWidth="1"/>
    <col min="6408" max="6408" width="13.5546875" style="79" customWidth="1"/>
    <col min="6409" max="6656" width="8.88671875" style="79"/>
    <col min="6657" max="6657" width="13.33203125" style="79" customWidth="1"/>
    <col min="6658" max="6658" width="14.88671875" style="79" customWidth="1"/>
    <col min="6659" max="6659" width="12.44140625" style="79" customWidth="1"/>
    <col min="6660" max="6660" width="11.6640625" style="79" customWidth="1"/>
    <col min="6661" max="6662" width="9.6640625" style="79" customWidth="1"/>
    <col min="6663" max="6663" width="9.77734375" style="79" customWidth="1"/>
    <col min="6664" max="6664" width="13.5546875" style="79" customWidth="1"/>
    <col min="6665" max="6912" width="8.88671875" style="79"/>
    <col min="6913" max="6913" width="13.33203125" style="79" customWidth="1"/>
    <col min="6914" max="6914" width="14.88671875" style="79" customWidth="1"/>
    <col min="6915" max="6915" width="12.44140625" style="79" customWidth="1"/>
    <col min="6916" max="6916" width="11.6640625" style="79" customWidth="1"/>
    <col min="6917" max="6918" width="9.6640625" style="79" customWidth="1"/>
    <col min="6919" max="6919" width="9.77734375" style="79" customWidth="1"/>
    <col min="6920" max="6920" width="13.5546875" style="79" customWidth="1"/>
    <col min="6921" max="7168" width="8.88671875" style="79"/>
    <col min="7169" max="7169" width="13.33203125" style="79" customWidth="1"/>
    <col min="7170" max="7170" width="14.88671875" style="79" customWidth="1"/>
    <col min="7171" max="7171" width="12.44140625" style="79" customWidth="1"/>
    <col min="7172" max="7172" width="11.6640625" style="79" customWidth="1"/>
    <col min="7173" max="7174" width="9.6640625" style="79" customWidth="1"/>
    <col min="7175" max="7175" width="9.77734375" style="79" customWidth="1"/>
    <col min="7176" max="7176" width="13.5546875" style="79" customWidth="1"/>
    <col min="7177" max="7424" width="8.88671875" style="79"/>
    <col min="7425" max="7425" width="13.33203125" style="79" customWidth="1"/>
    <col min="7426" max="7426" width="14.88671875" style="79" customWidth="1"/>
    <col min="7427" max="7427" width="12.44140625" style="79" customWidth="1"/>
    <col min="7428" max="7428" width="11.6640625" style="79" customWidth="1"/>
    <col min="7429" max="7430" width="9.6640625" style="79" customWidth="1"/>
    <col min="7431" max="7431" width="9.77734375" style="79" customWidth="1"/>
    <col min="7432" max="7432" width="13.5546875" style="79" customWidth="1"/>
    <col min="7433" max="7680" width="8.88671875" style="79"/>
    <col min="7681" max="7681" width="13.33203125" style="79" customWidth="1"/>
    <col min="7682" max="7682" width="14.88671875" style="79" customWidth="1"/>
    <col min="7683" max="7683" width="12.44140625" style="79" customWidth="1"/>
    <col min="7684" max="7684" width="11.6640625" style="79" customWidth="1"/>
    <col min="7685" max="7686" width="9.6640625" style="79" customWidth="1"/>
    <col min="7687" max="7687" width="9.77734375" style="79" customWidth="1"/>
    <col min="7688" max="7688" width="13.5546875" style="79" customWidth="1"/>
    <col min="7689" max="7936" width="8.88671875" style="79"/>
    <col min="7937" max="7937" width="13.33203125" style="79" customWidth="1"/>
    <col min="7938" max="7938" width="14.88671875" style="79" customWidth="1"/>
    <col min="7939" max="7939" width="12.44140625" style="79" customWidth="1"/>
    <col min="7940" max="7940" width="11.6640625" style="79" customWidth="1"/>
    <col min="7941" max="7942" width="9.6640625" style="79" customWidth="1"/>
    <col min="7943" max="7943" width="9.77734375" style="79" customWidth="1"/>
    <col min="7944" max="7944" width="13.5546875" style="79" customWidth="1"/>
    <col min="7945" max="8192" width="8.88671875" style="79"/>
    <col min="8193" max="8193" width="13.33203125" style="79" customWidth="1"/>
    <col min="8194" max="8194" width="14.88671875" style="79" customWidth="1"/>
    <col min="8195" max="8195" width="12.44140625" style="79" customWidth="1"/>
    <col min="8196" max="8196" width="11.6640625" style="79" customWidth="1"/>
    <col min="8197" max="8198" width="9.6640625" style="79" customWidth="1"/>
    <col min="8199" max="8199" width="9.77734375" style="79" customWidth="1"/>
    <col min="8200" max="8200" width="13.5546875" style="79" customWidth="1"/>
    <col min="8201" max="8448" width="8.88671875" style="79"/>
    <col min="8449" max="8449" width="13.33203125" style="79" customWidth="1"/>
    <col min="8450" max="8450" width="14.88671875" style="79" customWidth="1"/>
    <col min="8451" max="8451" width="12.44140625" style="79" customWidth="1"/>
    <col min="8452" max="8452" width="11.6640625" style="79" customWidth="1"/>
    <col min="8453" max="8454" width="9.6640625" style="79" customWidth="1"/>
    <col min="8455" max="8455" width="9.77734375" style="79" customWidth="1"/>
    <col min="8456" max="8456" width="13.5546875" style="79" customWidth="1"/>
    <col min="8457" max="8704" width="8.88671875" style="79"/>
    <col min="8705" max="8705" width="13.33203125" style="79" customWidth="1"/>
    <col min="8706" max="8706" width="14.88671875" style="79" customWidth="1"/>
    <col min="8707" max="8707" width="12.44140625" style="79" customWidth="1"/>
    <col min="8708" max="8708" width="11.6640625" style="79" customWidth="1"/>
    <col min="8709" max="8710" width="9.6640625" style="79" customWidth="1"/>
    <col min="8711" max="8711" width="9.77734375" style="79" customWidth="1"/>
    <col min="8712" max="8712" width="13.5546875" style="79" customWidth="1"/>
    <col min="8713" max="8960" width="8.88671875" style="79"/>
    <col min="8961" max="8961" width="13.33203125" style="79" customWidth="1"/>
    <col min="8962" max="8962" width="14.88671875" style="79" customWidth="1"/>
    <col min="8963" max="8963" width="12.44140625" style="79" customWidth="1"/>
    <col min="8964" max="8964" width="11.6640625" style="79" customWidth="1"/>
    <col min="8965" max="8966" width="9.6640625" style="79" customWidth="1"/>
    <col min="8967" max="8967" width="9.77734375" style="79" customWidth="1"/>
    <col min="8968" max="8968" width="13.5546875" style="79" customWidth="1"/>
    <col min="8969" max="9216" width="8.88671875" style="79"/>
    <col min="9217" max="9217" width="13.33203125" style="79" customWidth="1"/>
    <col min="9218" max="9218" width="14.88671875" style="79" customWidth="1"/>
    <col min="9219" max="9219" width="12.44140625" style="79" customWidth="1"/>
    <col min="9220" max="9220" width="11.6640625" style="79" customWidth="1"/>
    <col min="9221" max="9222" width="9.6640625" style="79" customWidth="1"/>
    <col min="9223" max="9223" width="9.77734375" style="79" customWidth="1"/>
    <col min="9224" max="9224" width="13.5546875" style="79" customWidth="1"/>
    <col min="9225" max="9472" width="8.88671875" style="79"/>
    <col min="9473" max="9473" width="13.33203125" style="79" customWidth="1"/>
    <col min="9474" max="9474" width="14.88671875" style="79" customWidth="1"/>
    <col min="9475" max="9475" width="12.44140625" style="79" customWidth="1"/>
    <col min="9476" max="9476" width="11.6640625" style="79" customWidth="1"/>
    <col min="9477" max="9478" width="9.6640625" style="79" customWidth="1"/>
    <col min="9479" max="9479" width="9.77734375" style="79" customWidth="1"/>
    <col min="9480" max="9480" width="13.5546875" style="79" customWidth="1"/>
    <col min="9481" max="9728" width="8.88671875" style="79"/>
    <col min="9729" max="9729" width="13.33203125" style="79" customWidth="1"/>
    <col min="9730" max="9730" width="14.88671875" style="79" customWidth="1"/>
    <col min="9731" max="9731" width="12.44140625" style="79" customWidth="1"/>
    <col min="9732" max="9732" width="11.6640625" style="79" customWidth="1"/>
    <col min="9733" max="9734" width="9.6640625" style="79" customWidth="1"/>
    <col min="9735" max="9735" width="9.77734375" style="79" customWidth="1"/>
    <col min="9736" max="9736" width="13.5546875" style="79" customWidth="1"/>
    <col min="9737" max="9984" width="8.88671875" style="79"/>
    <col min="9985" max="9985" width="13.33203125" style="79" customWidth="1"/>
    <col min="9986" max="9986" width="14.88671875" style="79" customWidth="1"/>
    <col min="9987" max="9987" width="12.44140625" style="79" customWidth="1"/>
    <col min="9988" max="9988" width="11.6640625" style="79" customWidth="1"/>
    <col min="9989" max="9990" width="9.6640625" style="79" customWidth="1"/>
    <col min="9991" max="9991" width="9.77734375" style="79" customWidth="1"/>
    <col min="9992" max="9992" width="13.5546875" style="79" customWidth="1"/>
    <col min="9993" max="10240" width="8.88671875" style="79"/>
    <col min="10241" max="10241" width="13.33203125" style="79" customWidth="1"/>
    <col min="10242" max="10242" width="14.88671875" style="79" customWidth="1"/>
    <col min="10243" max="10243" width="12.44140625" style="79" customWidth="1"/>
    <col min="10244" max="10244" width="11.6640625" style="79" customWidth="1"/>
    <col min="10245" max="10246" width="9.6640625" style="79" customWidth="1"/>
    <col min="10247" max="10247" width="9.77734375" style="79" customWidth="1"/>
    <col min="10248" max="10248" width="13.5546875" style="79" customWidth="1"/>
    <col min="10249" max="10496" width="8.88671875" style="79"/>
    <col min="10497" max="10497" width="13.33203125" style="79" customWidth="1"/>
    <col min="10498" max="10498" width="14.88671875" style="79" customWidth="1"/>
    <col min="10499" max="10499" width="12.44140625" style="79" customWidth="1"/>
    <col min="10500" max="10500" width="11.6640625" style="79" customWidth="1"/>
    <col min="10501" max="10502" width="9.6640625" style="79" customWidth="1"/>
    <col min="10503" max="10503" width="9.77734375" style="79" customWidth="1"/>
    <col min="10504" max="10504" width="13.5546875" style="79" customWidth="1"/>
    <col min="10505" max="10752" width="8.88671875" style="79"/>
    <col min="10753" max="10753" width="13.33203125" style="79" customWidth="1"/>
    <col min="10754" max="10754" width="14.88671875" style="79" customWidth="1"/>
    <col min="10755" max="10755" width="12.44140625" style="79" customWidth="1"/>
    <col min="10756" max="10756" width="11.6640625" style="79" customWidth="1"/>
    <col min="10757" max="10758" width="9.6640625" style="79" customWidth="1"/>
    <col min="10759" max="10759" width="9.77734375" style="79" customWidth="1"/>
    <col min="10760" max="10760" width="13.5546875" style="79" customWidth="1"/>
    <col min="10761" max="11008" width="8.88671875" style="79"/>
    <col min="11009" max="11009" width="13.33203125" style="79" customWidth="1"/>
    <col min="11010" max="11010" width="14.88671875" style="79" customWidth="1"/>
    <col min="11011" max="11011" width="12.44140625" style="79" customWidth="1"/>
    <col min="11012" max="11012" width="11.6640625" style="79" customWidth="1"/>
    <col min="11013" max="11014" width="9.6640625" style="79" customWidth="1"/>
    <col min="11015" max="11015" width="9.77734375" style="79" customWidth="1"/>
    <col min="11016" max="11016" width="13.5546875" style="79" customWidth="1"/>
    <col min="11017" max="11264" width="8.88671875" style="79"/>
    <col min="11265" max="11265" width="13.33203125" style="79" customWidth="1"/>
    <col min="11266" max="11266" width="14.88671875" style="79" customWidth="1"/>
    <col min="11267" max="11267" width="12.44140625" style="79" customWidth="1"/>
    <col min="11268" max="11268" width="11.6640625" style="79" customWidth="1"/>
    <col min="11269" max="11270" width="9.6640625" style="79" customWidth="1"/>
    <col min="11271" max="11271" width="9.77734375" style="79" customWidth="1"/>
    <col min="11272" max="11272" width="13.5546875" style="79" customWidth="1"/>
    <col min="11273" max="11520" width="8.88671875" style="79"/>
    <col min="11521" max="11521" width="13.33203125" style="79" customWidth="1"/>
    <col min="11522" max="11522" width="14.88671875" style="79" customWidth="1"/>
    <col min="11523" max="11523" width="12.44140625" style="79" customWidth="1"/>
    <col min="11524" max="11524" width="11.6640625" style="79" customWidth="1"/>
    <col min="11525" max="11526" width="9.6640625" style="79" customWidth="1"/>
    <col min="11527" max="11527" width="9.77734375" style="79" customWidth="1"/>
    <col min="11528" max="11528" width="13.5546875" style="79" customWidth="1"/>
    <col min="11529" max="11776" width="8.88671875" style="79"/>
    <col min="11777" max="11777" width="13.33203125" style="79" customWidth="1"/>
    <col min="11778" max="11778" width="14.88671875" style="79" customWidth="1"/>
    <col min="11779" max="11779" width="12.44140625" style="79" customWidth="1"/>
    <col min="11780" max="11780" width="11.6640625" style="79" customWidth="1"/>
    <col min="11781" max="11782" width="9.6640625" style="79" customWidth="1"/>
    <col min="11783" max="11783" width="9.77734375" style="79" customWidth="1"/>
    <col min="11784" max="11784" width="13.5546875" style="79" customWidth="1"/>
    <col min="11785" max="12032" width="8.88671875" style="79"/>
    <col min="12033" max="12033" width="13.33203125" style="79" customWidth="1"/>
    <col min="12034" max="12034" width="14.88671875" style="79" customWidth="1"/>
    <col min="12035" max="12035" width="12.44140625" style="79" customWidth="1"/>
    <col min="12036" max="12036" width="11.6640625" style="79" customWidth="1"/>
    <col min="12037" max="12038" width="9.6640625" style="79" customWidth="1"/>
    <col min="12039" max="12039" width="9.77734375" style="79" customWidth="1"/>
    <col min="12040" max="12040" width="13.5546875" style="79" customWidth="1"/>
    <col min="12041" max="12288" width="8.88671875" style="79"/>
    <col min="12289" max="12289" width="13.33203125" style="79" customWidth="1"/>
    <col min="12290" max="12290" width="14.88671875" style="79" customWidth="1"/>
    <col min="12291" max="12291" width="12.44140625" style="79" customWidth="1"/>
    <col min="12292" max="12292" width="11.6640625" style="79" customWidth="1"/>
    <col min="12293" max="12294" width="9.6640625" style="79" customWidth="1"/>
    <col min="12295" max="12295" width="9.77734375" style="79" customWidth="1"/>
    <col min="12296" max="12296" width="13.5546875" style="79" customWidth="1"/>
    <col min="12297" max="12544" width="8.88671875" style="79"/>
    <col min="12545" max="12545" width="13.33203125" style="79" customWidth="1"/>
    <col min="12546" max="12546" width="14.88671875" style="79" customWidth="1"/>
    <col min="12547" max="12547" width="12.44140625" style="79" customWidth="1"/>
    <col min="12548" max="12548" width="11.6640625" style="79" customWidth="1"/>
    <col min="12549" max="12550" width="9.6640625" style="79" customWidth="1"/>
    <col min="12551" max="12551" width="9.77734375" style="79" customWidth="1"/>
    <col min="12552" max="12552" width="13.5546875" style="79" customWidth="1"/>
    <col min="12553" max="12800" width="8.88671875" style="79"/>
    <col min="12801" max="12801" width="13.33203125" style="79" customWidth="1"/>
    <col min="12802" max="12802" width="14.88671875" style="79" customWidth="1"/>
    <col min="12803" max="12803" width="12.44140625" style="79" customWidth="1"/>
    <col min="12804" max="12804" width="11.6640625" style="79" customWidth="1"/>
    <col min="12805" max="12806" width="9.6640625" style="79" customWidth="1"/>
    <col min="12807" max="12807" width="9.77734375" style="79" customWidth="1"/>
    <col min="12808" max="12808" width="13.5546875" style="79" customWidth="1"/>
    <col min="12809" max="13056" width="8.88671875" style="79"/>
    <col min="13057" max="13057" width="13.33203125" style="79" customWidth="1"/>
    <col min="13058" max="13058" width="14.88671875" style="79" customWidth="1"/>
    <col min="13059" max="13059" width="12.44140625" style="79" customWidth="1"/>
    <col min="13060" max="13060" width="11.6640625" style="79" customWidth="1"/>
    <col min="13061" max="13062" width="9.6640625" style="79" customWidth="1"/>
    <col min="13063" max="13063" width="9.77734375" style="79" customWidth="1"/>
    <col min="13064" max="13064" width="13.5546875" style="79" customWidth="1"/>
    <col min="13065" max="13312" width="8.88671875" style="79"/>
    <col min="13313" max="13313" width="13.33203125" style="79" customWidth="1"/>
    <col min="13314" max="13314" width="14.88671875" style="79" customWidth="1"/>
    <col min="13315" max="13315" width="12.44140625" style="79" customWidth="1"/>
    <col min="13316" max="13316" width="11.6640625" style="79" customWidth="1"/>
    <col min="13317" max="13318" width="9.6640625" style="79" customWidth="1"/>
    <col min="13319" max="13319" width="9.77734375" style="79" customWidth="1"/>
    <col min="13320" max="13320" width="13.5546875" style="79" customWidth="1"/>
    <col min="13321" max="13568" width="8.88671875" style="79"/>
    <col min="13569" max="13569" width="13.33203125" style="79" customWidth="1"/>
    <col min="13570" max="13570" width="14.88671875" style="79" customWidth="1"/>
    <col min="13571" max="13571" width="12.44140625" style="79" customWidth="1"/>
    <col min="13572" max="13572" width="11.6640625" style="79" customWidth="1"/>
    <col min="13573" max="13574" width="9.6640625" style="79" customWidth="1"/>
    <col min="13575" max="13575" width="9.77734375" style="79" customWidth="1"/>
    <col min="13576" max="13576" width="13.5546875" style="79" customWidth="1"/>
    <col min="13577" max="13824" width="8.88671875" style="79"/>
    <col min="13825" max="13825" width="13.33203125" style="79" customWidth="1"/>
    <col min="13826" max="13826" width="14.88671875" style="79" customWidth="1"/>
    <col min="13827" max="13827" width="12.44140625" style="79" customWidth="1"/>
    <col min="13828" max="13828" width="11.6640625" style="79" customWidth="1"/>
    <col min="13829" max="13830" width="9.6640625" style="79" customWidth="1"/>
    <col min="13831" max="13831" width="9.77734375" style="79" customWidth="1"/>
    <col min="13832" max="13832" width="13.5546875" style="79" customWidth="1"/>
    <col min="13833" max="14080" width="8.88671875" style="79"/>
    <col min="14081" max="14081" width="13.33203125" style="79" customWidth="1"/>
    <col min="14082" max="14082" width="14.88671875" style="79" customWidth="1"/>
    <col min="14083" max="14083" width="12.44140625" style="79" customWidth="1"/>
    <col min="14084" max="14084" width="11.6640625" style="79" customWidth="1"/>
    <col min="14085" max="14086" width="9.6640625" style="79" customWidth="1"/>
    <col min="14087" max="14087" width="9.77734375" style="79" customWidth="1"/>
    <col min="14088" max="14088" width="13.5546875" style="79" customWidth="1"/>
    <col min="14089" max="14336" width="8.88671875" style="79"/>
    <col min="14337" max="14337" width="13.33203125" style="79" customWidth="1"/>
    <col min="14338" max="14338" width="14.88671875" style="79" customWidth="1"/>
    <col min="14339" max="14339" width="12.44140625" style="79" customWidth="1"/>
    <col min="14340" max="14340" width="11.6640625" style="79" customWidth="1"/>
    <col min="14341" max="14342" width="9.6640625" style="79" customWidth="1"/>
    <col min="14343" max="14343" width="9.77734375" style="79" customWidth="1"/>
    <col min="14344" max="14344" width="13.5546875" style="79" customWidth="1"/>
    <col min="14345" max="14592" width="8.88671875" style="79"/>
    <col min="14593" max="14593" width="13.33203125" style="79" customWidth="1"/>
    <col min="14594" max="14594" width="14.88671875" style="79" customWidth="1"/>
    <col min="14595" max="14595" width="12.44140625" style="79" customWidth="1"/>
    <col min="14596" max="14596" width="11.6640625" style="79" customWidth="1"/>
    <col min="14597" max="14598" width="9.6640625" style="79" customWidth="1"/>
    <col min="14599" max="14599" width="9.77734375" style="79" customWidth="1"/>
    <col min="14600" max="14600" width="13.5546875" style="79" customWidth="1"/>
    <col min="14601" max="14848" width="8.88671875" style="79"/>
    <col min="14849" max="14849" width="13.33203125" style="79" customWidth="1"/>
    <col min="14850" max="14850" width="14.88671875" style="79" customWidth="1"/>
    <col min="14851" max="14851" width="12.44140625" style="79" customWidth="1"/>
    <col min="14852" max="14852" width="11.6640625" style="79" customWidth="1"/>
    <col min="14853" max="14854" width="9.6640625" style="79" customWidth="1"/>
    <col min="14855" max="14855" width="9.77734375" style="79" customWidth="1"/>
    <col min="14856" max="14856" width="13.5546875" style="79" customWidth="1"/>
    <col min="14857" max="15104" width="8.88671875" style="79"/>
    <col min="15105" max="15105" width="13.33203125" style="79" customWidth="1"/>
    <col min="15106" max="15106" width="14.88671875" style="79" customWidth="1"/>
    <col min="15107" max="15107" width="12.44140625" style="79" customWidth="1"/>
    <col min="15108" max="15108" width="11.6640625" style="79" customWidth="1"/>
    <col min="15109" max="15110" width="9.6640625" style="79" customWidth="1"/>
    <col min="15111" max="15111" width="9.77734375" style="79" customWidth="1"/>
    <col min="15112" max="15112" width="13.5546875" style="79" customWidth="1"/>
    <col min="15113" max="15360" width="8.88671875" style="79"/>
    <col min="15361" max="15361" width="13.33203125" style="79" customWidth="1"/>
    <col min="15362" max="15362" width="14.88671875" style="79" customWidth="1"/>
    <col min="15363" max="15363" width="12.44140625" style="79" customWidth="1"/>
    <col min="15364" max="15364" width="11.6640625" style="79" customWidth="1"/>
    <col min="15365" max="15366" width="9.6640625" style="79" customWidth="1"/>
    <col min="15367" max="15367" width="9.77734375" style="79" customWidth="1"/>
    <col min="15368" max="15368" width="13.5546875" style="79" customWidth="1"/>
    <col min="15369" max="15616" width="8.88671875" style="79"/>
    <col min="15617" max="15617" width="13.33203125" style="79" customWidth="1"/>
    <col min="15618" max="15618" width="14.88671875" style="79" customWidth="1"/>
    <col min="15619" max="15619" width="12.44140625" style="79" customWidth="1"/>
    <col min="15620" max="15620" width="11.6640625" style="79" customWidth="1"/>
    <col min="15621" max="15622" width="9.6640625" style="79" customWidth="1"/>
    <col min="15623" max="15623" width="9.77734375" style="79" customWidth="1"/>
    <col min="15624" max="15624" width="13.5546875" style="79" customWidth="1"/>
    <col min="15625" max="15872" width="8.88671875" style="79"/>
    <col min="15873" max="15873" width="13.33203125" style="79" customWidth="1"/>
    <col min="15874" max="15874" width="14.88671875" style="79" customWidth="1"/>
    <col min="15875" max="15875" width="12.44140625" style="79" customWidth="1"/>
    <col min="15876" max="15876" width="11.6640625" style="79" customWidth="1"/>
    <col min="15877" max="15878" width="9.6640625" style="79" customWidth="1"/>
    <col min="15879" max="15879" width="9.77734375" style="79" customWidth="1"/>
    <col min="15880" max="15880" width="13.5546875" style="79" customWidth="1"/>
    <col min="15881" max="16128" width="8.88671875" style="79"/>
    <col min="16129" max="16129" width="13.33203125" style="79" customWidth="1"/>
    <col min="16130" max="16130" width="14.88671875" style="79" customWidth="1"/>
    <col min="16131" max="16131" width="12.44140625" style="79" customWidth="1"/>
    <col min="16132" max="16132" width="11.6640625" style="79" customWidth="1"/>
    <col min="16133" max="16134" width="9.6640625" style="79" customWidth="1"/>
    <col min="16135" max="16135" width="9.77734375" style="79" customWidth="1"/>
    <col min="16136" max="16136" width="13.5546875" style="79" customWidth="1"/>
    <col min="16137" max="16384" width="8.88671875" style="79"/>
  </cols>
  <sheetData>
    <row r="1" spans="1:10" ht="48" customHeight="1" x14ac:dyDescent="0.15">
      <c r="A1" s="184" t="s">
        <v>446</v>
      </c>
      <c r="B1" s="184"/>
      <c r="C1" s="184"/>
      <c r="D1" s="184"/>
      <c r="E1" s="184"/>
      <c r="F1" s="184"/>
      <c r="G1" s="184"/>
    </row>
    <row r="2" spans="1:10" ht="23.25" customHeight="1" thickBot="1" x14ac:dyDescent="0.2">
      <c r="A2" s="86" t="s">
        <v>259</v>
      </c>
      <c r="B2" s="87"/>
      <c r="C2" s="87"/>
      <c r="D2" s="88"/>
      <c r="E2" s="87"/>
      <c r="F2" s="185" t="s">
        <v>787</v>
      </c>
      <c r="G2" s="185"/>
    </row>
    <row r="3" spans="1:10" s="43" customFormat="1" ht="27.75" customHeight="1" thickTop="1" x14ac:dyDescent="0.15">
      <c r="A3" s="186" t="s">
        <v>3</v>
      </c>
      <c r="B3" s="188" t="s">
        <v>233</v>
      </c>
      <c r="C3" s="188" t="s">
        <v>260</v>
      </c>
      <c r="D3" s="188" t="s">
        <v>261</v>
      </c>
      <c r="E3" s="188"/>
      <c r="F3" s="188"/>
      <c r="G3" s="190" t="s">
        <v>262</v>
      </c>
    </row>
    <row r="4" spans="1:10" s="43" customFormat="1" ht="27.75" customHeight="1" thickBot="1" x14ac:dyDescent="0.2">
      <c r="A4" s="187"/>
      <c r="B4" s="189"/>
      <c r="C4" s="189"/>
      <c r="D4" s="85" t="s">
        <v>0</v>
      </c>
      <c r="E4" s="85" t="s">
        <v>1</v>
      </c>
      <c r="F4" s="85" t="s">
        <v>2</v>
      </c>
      <c r="G4" s="191"/>
    </row>
    <row r="5" spans="1:10" s="43" customFormat="1" ht="27.75" customHeight="1" thickTop="1" thickBot="1" x14ac:dyDescent="0.2">
      <c r="A5" s="1" t="s">
        <v>263</v>
      </c>
      <c r="B5" s="2" t="s">
        <v>264</v>
      </c>
      <c r="C5" s="120">
        <f>C6+C604</f>
        <v>321680</v>
      </c>
      <c r="D5" s="121">
        <f>D6+D604</f>
        <v>666182</v>
      </c>
      <c r="E5" s="120">
        <f>E6+E604</f>
        <v>341662</v>
      </c>
      <c r="F5" s="120">
        <f>F6+F604</f>
        <v>324520</v>
      </c>
      <c r="G5" s="3"/>
      <c r="J5" s="43" t="s">
        <v>259</v>
      </c>
    </row>
    <row r="6" spans="1:10" s="43" customFormat="1" ht="25.5" customHeight="1" thickTop="1" thickBot="1" x14ac:dyDescent="0.2">
      <c r="A6" s="4" t="s">
        <v>265</v>
      </c>
      <c r="B6" s="5" t="s">
        <v>266</v>
      </c>
      <c r="C6" s="122">
        <f>C7+C60+C92+C127+C155+C185+C205+C246+C271+C292+C311+C329+C350+C380+C410+C472+C542</f>
        <v>129433</v>
      </c>
      <c r="D6" s="123">
        <f>D7+D60+D92+D127+D155+D185+D205+D246+D271+D292+D311+D329+D350+D380+D410+D472+D542</f>
        <v>263653</v>
      </c>
      <c r="E6" s="122">
        <f>E7+E60+E92+E127+E155+E185+E205+E246+E271+E292+E311+E329+E350+E380+E410+E472+E542</f>
        <v>133603</v>
      </c>
      <c r="F6" s="122">
        <f>F7+F60+F92+F127+F155+F185+F205+F246+F271+F292+F311+F329+F350+F380+F410+F472+F542</f>
        <v>130050</v>
      </c>
      <c r="G6" s="6"/>
    </row>
    <row r="7" spans="1:10" s="43" customFormat="1" ht="22.5" customHeight="1" thickTop="1" x14ac:dyDescent="0.15">
      <c r="A7" s="174" t="s">
        <v>267</v>
      </c>
      <c r="B7" s="7" t="s">
        <v>0</v>
      </c>
      <c r="C7" s="124">
        <f>SUM(C8:C59)</f>
        <v>11199</v>
      </c>
      <c r="D7" s="125">
        <f>SUM(D8:D59)</f>
        <v>21717</v>
      </c>
      <c r="E7" s="124">
        <f>SUM(E8:E59)</f>
        <v>11141</v>
      </c>
      <c r="F7" s="124">
        <f>SUM(F8:F59)</f>
        <v>10576</v>
      </c>
      <c r="G7" s="8"/>
    </row>
    <row r="8" spans="1:10" s="43" customFormat="1" ht="24" customHeight="1" x14ac:dyDescent="0.15">
      <c r="A8" s="175"/>
      <c r="B8" s="9" t="s">
        <v>252</v>
      </c>
      <c r="C8" s="160">
        <v>67</v>
      </c>
      <c r="D8" s="161">
        <v>103</v>
      </c>
      <c r="E8" s="160">
        <v>52</v>
      </c>
      <c r="F8" s="160">
        <v>51</v>
      </c>
      <c r="G8" s="10"/>
      <c r="I8"/>
    </row>
    <row r="9" spans="1:10" s="43" customFormat="1" ht="24" customHeight="1" x14ac:dyDescent="0.15">
      <c r="A9" s="175"/>
      <c r="B9" s="9" t="s">
        <v>253</v>
      </c>
      <c r="C9" s="160">
        <v>36</v>
      </c>
      <c r="D9" s="161">
        <v>75</v>
      </c>
      <c r="E9" s="160">
        <v>38</v>
      </c>
      <c r="F9" s="160">
        <v>37</v>
      </c>
      <c r="G9" s="10"/>
    </row>
    <row r="10" spans="1:10" s="43" customFormat="1" ht="24" customHeight="1" x14ac:dyDescent="0.15">
      <c r="A10" s="175"/>
      <c r="B10" s="11" t="s">
        <v>4</v>
      </c>
      <c r="C10" s="162">
        <v>84</v>
      </c>
      <c r="D10" s="161">
        <v>154</v>
      </c>
      <c r="E10" s="162">
        <v>79</v>
      </c>
      <c r="F10" s="162">
        <v>75</v>
      </c>
      <c r="G10" s="10"/>
    </row>
    <row r="11" spans="1:10" s="43" customFormat="1" ht="24" customHeight="1" x14ac:dyDescent="0.15">
      <c r="A11" s="175"/>
      <c r="B11" s="11" t="s">
        <v>5</v>
      </c>
      <c r="C11" s="162">
        <v>40</v>
      </c>
      <c r="D11" s="161">
        <v>76</v>
      </c>
      <c r="E11" s="162">
        <v>41</v>
      </c>
      <c r="F11" s="162">
        <v>35</v>
      </c>
      <c r="G11" s="10"/>
    </row>
    <row r="12" spans="1:10" s="43" customFormat="1" ht="24" customHeight="1" x14ac:dyDescent="0.15">
      <c r="A12" s="175"/>
      <c r="B12" s="11" t="s">
        <v>6</v>
      </c>
      <c r="C12" s="162">
        <v>97</v>
      </c>
      <c r="D12" s="161">
        <v>228</v>
      </c>
      <c r="E12" s="162">
        <v>121</v>
      </c>
      <c r="F12" s="162">
        <v>107</v>
      </c>
      <c r="G12" s="10"/>
    </row>
    <row r="13" spans="1:10" s="43" customFormat="1" ht="24" customHeight="1" x14ac:dyDescent="0.15">
      <c r="A13" s="175"/>
      <c r="B13" s="11" t="s">
        <v>7</v>
      </c>
      <c r="C13" s="162">
        <v>77</v>
      </c>
      <c r="D13" s="161">
        <v>115</v>
      </c>
      <c r="E13" s="162">
        <v>51</v>
      </c>
      <c r="F13" s="162">
        <v>64</v>
      </c>
      <c r="G13" s="10"/>
    </row>
    <row r="14" spans="1:10" s="43" customFormat="1" ht="24" customHeight="1" x14ac:dyDescent="0.15">
      <c r="A14" s="175"/>
      <c r="B14" s="11" t="s">
        <v>8</v>
      </c>
      <c r="C14" s="162">
        <v>69</v>
      </c>
      <c r="D14" s="161">
        <v>122</v>
      </c>
      <c r="E14" s="162">
        <v>61</v>
      </c>
      <c r="F14" s="162">
        <v>61</v>
      </c>
      <c r="G14" s="10"/>
    </row>
    <row r="15" spans="1:10" s="43" customFormat="1" ht="24" customHeight="1" x14ac:dyDescent="0.15">
      <c r="A15" s="175"/>
      <c r="B15" s="11" t="s">
        <v>9</v>
      </c>
      <c r="C15" s="162">
        <v>47</v>
      </c>
      <c r="D15" s="161">
        <v>76</v>
      </c>
      <c r="E15" s="162">
        <v>43</v>
      </c>
      <c r="F15" s="162">
        <v>33</v>
      </c>
      <c r="G15" s="10"/>
    </row>
    <row r="16" spans="1:10" s="43" customFormat="1" ht="24" customHeight="1" x14ac:dyDescent="0.15">
      <c r="A16" s="175"/>
      <c r="B16" s="11" t="s">
        <v>10</v>
      </c>
      <c r="C16" s="162">
        <v>42</v>
      </c>
      <c r="D16" s="161">
        <v>74</v>
      </c>
      <c r="E16" s="162">
        <v>40</v>
      </c>
      <c r="F16" s="162">
        <v>34</v>
      </c>
      <c r="G16" s="10"/>
    </row>
    <row r="17" spans="1:7" s="43" customFormat="1" ht="24" customHeight="1" x14ac:dyDescent="0.15">
      <c r="A17" s="175"/>
      <c r="B17" s="11" t="s">
        <v>11</v>
      </c>
      <c r="C17" s="162">
        <v>107</v>
      </c>
      <c r="D17" s="161">
        <v>211</v>
      </c>
      <c r="E17" s="162">
        <v>114</v>
      </c>
      <c r="F17" s="162">
        <v>97</v>
      </c>
      <c r="G17" s="12"/>
    </row>
    <row r="18" spans="1:7" s="43" customFormat="1" ht="24" customHeight="1" x14ac:dyDescent="0.15">
      <c r="A18" s="175"/>
      <c r="B18" s="13" t="s">
        <v>254</v>
      </c>
      <c r="C18" s="162">
        <v>46</v>
      </c>
      <c r="D18" s="161">
        <v>81</v>
      </c>
      <c r="E18" s="162">
        <v>45</v>
      </c>
      <c r="F18" s="162">
        <v>36</v>
      </c>
      <c r="G18" s="10"/>
    </row>
    <row r="19" spans="1:7" s="43" customFormat="1" ht="24" customHeight="1" x14ac:dyDescent="0.15">
      <c r="A19" s="175"/>
      <c r="B19" s="13" t="s">
        <v>764</v>
      </c>
      <c r="C19" s="162">
        <v>234</v>
      </c>
      <c r="D19" s="161">
        <v>487</v>
      </c>
      <c r="E19" s="162">
        <v>250</v>
      </c>
      <c r="F19" s="162">
        <v>237</v>
      </c>
      <c r="G19" s="10"/>
    </row>
    <row r="20" spans="1:7" s="43" customFormat="1" ht="24" customHeight="1" x14ac:dyDescent="0.15">
      <c r="A20" s="175"/>
      <c r="B20" s="11" t="s">
        <v>12</v>
      </c>
      <c r="C20" s="162">
        <v>206</v>
      </c>
      <c r="D20" s="161">
        <v>372</v>
      </c>
      <c r="E20" s="162">
        <v>192</v>
      </c>
      <c r="F20" s="162">
        <v>180</v>
      </c>
      <c r="G20" s="10"/>
    </row>
    <row r="21" spans="1:7" s="43" customFormat="1" ht="22.5" customHeight="1" x14ac:dyDescent="0.15">
      <c r="A21" s="175"/>
      <c r="B21" s="11" t="s">
        <v>13</v>
      </c>
      <c r="C21" s="162">
        <v>67</v>
      </c>
      <c r="D21" s="161">
        <v>156</v>
      </c>
      <c r="E21" s="162">
        <v>82</v>
      </c>
      <c r="F21" s="162">
        <v>74</v>
      </c>
      <c r="G21" s="10"/>
    </row>
    <row r="22" spans="1:7" s="43" customFormat="1" ht="22.5" customHeight="1" x14ac:dyDescent="0.15">
      <c r="A22" s="175"/>
      <c r="B22" s="11" t="s">
        <v>14</v>
      </c>
      <c r="C22" s="162">
        <v>65</v>
      </c>
      <c r="D22" s="161">
        <v>152</v>
      </c>
      <c r="E22" s="162">
        <v>82</v>
      </c>
      <c r="F22" s="162">
        <v>70</v>
      </c>
      <c r="G22" s="10"/>
    </row>
    <row r="23" spans="1:7" s="43" customFormat="1" ht="22.5" customHeight="1" x14ac:dyDescent="0.15">
      <c r="A23" s="175"/>
      <c r="B23" s="11" t="s">
        <v>15</v>
      </c>
      <c r="C23" s="162">
        <v>50</v>
      </c>
      <c r="D23" s="161">
        <v>94</v>
      </c>
      <c r="E23" s="162">
        <v>57</v>
      </c>
      <c r="F23" s="162">
        <v>37</v>
      </c>
      <c r="G23" s="10"/>
    </row>
    <row r="24" spans="1:7" s="43" customFormat="1" ht="22.5" customHeight="1" x14ac:dyDescent="0.15">
      <c r="A24" s="175"/>
      <c r="B24" s="11" t="s">
        <v>16</v>
      </c>
      <c r="C24" s="162">
        <v>84</v>
      </c>
      <c r="D24" s="161">
        <v>157</v>
      </c>
      <c r="E24" s="162">
        <v>90</v>
      </c>
      <c r="F24" s="162">
        <v>67</v>
      </c>
      <c r="G24" s="10"/>
    </row>
    <row r="25" spans="1:7" s="43" customFormat="1" ht="22.5" customHeight="1" x14ac:dyDescent="0.15">
      <c r="A25" s="175"/>
      <c r="B25" s="11" t="s">
        <v>17</v>
      </c>
      <c r="C25" s="162">
        <v>416</v>
      </c>
      <c r="D25" s="161">
        <v>751</v>
      </c>
      <c r="E25" s="162">
        <v>361</v>
      </c>
      <c r="F25" s="162">
        <v>390</v>
      </c>
      <c r="G25" s="10"/>
    </row>
    <row r="26" spans="1:7" s="43" customFormat="1" ht="22.5" customHeight="1" x14ac:dyDescent="0.15">
      <c r="A26" s="175"/>
      <c r="B26" s="11" t="s">
        <v>18</v>
      </c>
      <c r="C26" s="162">
        <v>458</v>
      </c>
      <c r="D26" s="161">
        <v>1047</v>
      </c>
      <c r="E26" s="162">
        <v>550</v>
      </c>
      <c r="F26" s="162">
        <v>497</v>
      </c>
      <c r="G26" s="10"/>
    </row>
    <row r="27" spans="1:7" s="43" customFormat="1" ht="22.5" customHeight="1" x14ac:dyDescent="0.15">
      <c r="A27" s="175"/>
      <c r="B27" s="11" t="s">
        <v>19</v>
      </c>
      <c r="C27" s="162">
        <v>346</v>
      </c>
      <c r="D27" s="161">
        <v>708</v>
      </c>
      <c r="E27" s="162">
        <v>373</v>
      </c>
      <c r="F27" s="162">
        <v>335</v>
      </c>
      <c r="G27" s="10"/>
    </row>
    <row r="28" spans="1:7" s="43" customFormat="1" ht="22.5" customHeight="1" x14ac:dyDescent="0.15">
      <c r="A28" s="175"/>
      <c r="B28" s="11" t="s">
        <v>20</v>
      </c>
      <c r="C28" s="162">
        <v>441</v>
      </c>
      <c r="D28" s="161">
        <v>949</v>
      </c>
      <c r="E28" s="162">
        <v>453</v>
      </c>
      <c r="F28" s="162">
        <v>496</v>
      </c>
      <c r="G28" s="10"/>
    </row>
    <row r="29" spans="1:7" s="43" customFormat="1" ht="22.5" customHeight="1" x14ac:dyDescent="0.15">
      <c r="A29" s="175"/>
      <c r="B29" s="11" t="s">
        <v>255</v>
      </c>
      <c r="C29" s="162">
        <v>375</v>
      </c>
      <c r="D29" s="161">
        <v>733</v>
      </c>
      <c r="E29" s="162">
        <v>366</v>
      </c>
      <c r="F29" s="162">
        <v>367</v>
      </c>
      <c r="G29" s="10"/>
    </row>
    <row r="30" spans="1:7" s="43" customFormat="1" ht="22.5" customHeight="1" x14ac:dyDescent="0.15">
      <c r="A30" s="175"/>
      <c r="B30" s="14" t="s">
        <v>256</v>
      </c>
      <c r="C30" s="162">
        <v>452</v>
      </c>
      <c r="D30" s="161">
        <v>884</v>
      </c>
      <c r="E30" s="162">
        <v>437</v>
      </c>
      <c r="F30" s="162">
        <v>447</v>
      </c>
      <c r="G30" s="15"/>
    </row>
    <row r="31" spans="1:7" s="43" customFormat="1" ht="22.5" customHeight="1" x14ac:dyDescent="0.15">
      <c r="A31" s="175"/>
      <c r="B31" s="14" t="s">
        <v>765</v>
      </c>
      <c r="C31" s="162">
        <v>168</v>
      </c>
      <c r="D31" s="161">
        <v>288</v>
      </c>
      <c r="E31" s="162">
        <v>154</v>
      </c>
      <c r="F31" s="162">
        <v>134</v>
      </c>
      <c r="G31" s="15"/>
    </row>
    <row r="32" spans="1:7" s="43" customFormat="1" ht="22.5" customHeight="1" x14ac:dyDescent="0.15">
      <c r="A32" s="175"/>
      <c r="B32" s="14" t="s">
        <v>766</v>
      </c>
      <c r="C32" s="162">
        <v>282</v>
      </c>
      <c r="D32" s="161">
        <v>586</v>
      </c>
      <c r="E32" s="162">
        <v>276</v>
      </c>
      <c r="F32" s="162">
        <v>310</v>
      </c>
      <c r="G32" s="15"/>
    </row>
    <row r="33" spans="1:7" s="43" customFormat="1" ht="22.5" customHeight="1" x14ac:dyDescent="0.15">
      <c r="A33" s="175"/>
      <c r="B33" s="14" t="s">
        <v>21</v>
      </c>
      <c r="C33" s="162">
        <v>100</v>
      </c>
      <c r="D33" s="161">
        <v>195</v>
      </c>
      <c r="E33" s="162">
        <v>99</v>
      </c>
      <c r="F33" s="162">
        <v>96</v>
      </c>
      <c r="G33" s="15"/>
    </row>
    <row r="34" spans="1:7" s="43" customFormat="1" ht="22.5" customHeight="1" x14ac:dyDescent="0.15">
      <c r="A34" s="179"/>
      <c r="B34" s="11" t="s">
        <v>22</v>
      </c>
      <c r="C34" s="162">
        <v>60</v>
      </c>
      <c r="D34" s="161">
        <v>99</v>
      </c>
      <c r="E34" s="162">
        <v>47</v>
      </c>
      <c r="F34" s="162">
        <v>52</v>
      </c>
      <c r="G34" s="10"/>
    </row>
    <row r="35" spans="1:7" s="43" customFormat="1" ht="22.5" customHeight="1" x14ac:dyDescent="0.15">
      <c r="A35" s="179"/>
      <c r="B35" s="11" t="s">
        <v>767</v>
      </c>
      <c r="C35" s="162">
        <v>74</v>
      </c>
      <c r="D35" s="161">
        <v>127</v>
      </c>
      <c r="E35" s="162">
        <v>67</v>
      </c>
      <c r="F35" s="162">
        <v>60</v>
      </c>
      <c r="G35" s="10"/>
    </row>
    <row r="36" spans="1:7" s="43" customFormat="1" ht="22.5" customHeight="1" x14ac:dyDescent="0.15">
      <c r="A36" s="179"/>
      <c r="B36" s="11" t="s">
        <v>768</v>
      </c>
      <c r="C36" s="162">
        <v>115</v>
      </c>
      <c r="D36" s="161">
        <v>195</v>
      </c>
      <c r="E36" s="162">
        <v>109</v>
      </c>
      <c r="F36" s="162">
        <v>86</v>
      </c>
      <c r="G36" s="10"/>
    </row>
    <row r="37" spans="1:7" s="43" customFormat="1" ht="22.5" customHeight="1" x14ac:dyDescent="0.15">
      <c r="A37" s="179"/>
      <c r="B37" s="11" t="s">
        <v>769</v>
      </c>
      <c r="C37" s="162">
        <v>117</v>
      </c>
      <c r="D37" s="161">
        <v>168</v>
      </c>
      <c r="E37" s="162">
        <v>66</v>
      </c>
      <c r="F37" s="162">
        <v>102</v>
      </c>
      <c r="G37" s="10"/>
    </row>
    <row r="38" spans="1:7" s="43" customFormat="1" ht="22.5" customHeight="1" x14ac:dyDescent="0.15">
      <c r="A38" s="179"/>
      <c r="B38" s="11" t="s">
        <v>23</v>
      </c>
      <c r="C38" s="162">
        <v>258</v>
      </c>
      <c r="D38" s="161">
        <v>425</v>
      </c>
      <c r="E38" s="162">
        <v>238</v>
      </c>
      <c r="F38" s="162">
        <v>187</v>
      </c>
      <c r="G38" s="10"/>
    </row>
    <row r="39" spans="1:7" s="43" customFormat="1" ht="22.5" customHeight="1" x14ac:dyDescent="0.15">
      <c r="A39" s="179"/>
      <c r="B39" s="11" t="s">
        <v>24</v>
      </c>
      <c r="C39" s="162">
        <v>333</v>
      </c>
      <c r="D39" s="161">
        <v>489</v>
      </c>
      <c r="E39" s="162">
        <v>294</v>
      </c>
      <c r="F39" s="162">
        <v>195</v>
      </c>
      <c r="G39" s="10"/>
    </row>
    <row r="40" spans="1:7" s="43" customFormat="1" ht="22.5" customHeight="1" x14ac:dyDescent="0.15">
      <c r="A40" s="179"/>
      <c r="B40" s="11" t="s">
        <v>25</v>
      </c>
      <c r="C40" s="162">
        <v>677</v>
      </c>
      <c r="D40" s="161">
        <v>941</v>
      </c>
      <c r="E40" s="162">
        <v>470</v>
      </c>
      <c r="F40" s="162">
        <v>471</v>
      </c>
      <c r="G40" s="10"/>
    </row>
    <row r="41" spans="1:7" s="43" customFormat="1" ht="22.5" customHeight="1" x14ac:dyDescent="0.15">
      <c r="A41" s="179"/>
      <c r="B41" s="11" t="s">
        <v>26</v>
      </c>
      <c r="C41" s="162">
        <v>365</v>
      </c>
      <c r="D41" s="161">
        <v>874</v>
      </c>
      <c r="E41" s="162">
        <v>434</v>
      </c>
      <c r="F41" s="162">
        <v>440</v>
      </c>
      <c r="G41" s="10"/>
    </row>
    <row r="42" spans="1:7" s="43" customFormat="1" ht="22.5" customHeight="1" x14ac:dyDescent="0.15">
      <c r="A42" s="179"/>
      <c r="B42" s="11" t="s">
        <v>27</v>
      </c>
      <c r="C42" s="162">
        <v>755</v>
      </c>
      <c r="D42" s="161">
        <v>1146</v>
      </c>
      <c r="E42" s="162">
        <v>618</v>
      </c>
      <c r="F42" s="162">
        <v>528</v>
      </c>
      <c r="G42" s="10"/>
    </row>
    <row r="43" spans="1:7" s="43" customFormat="1" ht="22.5" customHeight="1" x14ac:dyDescent="0.15">
      <c r="A43" s="179"/>
      <c r="B43" s="11" t="s">
        <v>28</v>
      </c>
      <c r="C43" s="162">
        <v>517</v>
      </c>
      <c r="D43" s="161">
        <v>1452</v>
      </c>
      <c r="E43" s="162">
        <v>739</v>
      </c>
      <c r="F43" s="162">
        <v>713</v>
      </c>
      <c r="G43" s="10"/>
    </row>
    <row r="44" spans="1:7" s="43" customFormat="1" ht="22.5" customHeight="1" x14ac:dyDescent="0.15">
      <c r="A44" s="179"/>
      <c r="B44" s="11" t="s">
        <v>29</v>
      </c>
      <c r="C44" s="162">
        <v>472</v>
      </c>
      <c r="D44" s="161">
        <v>1292</v>
      </c>
      <c r="E44" s="162">
        <v>658</v>
      </c>
      <c r="F44" s="162">
        <v>634</v>
      </c>
      <c r="G44" s="15"/>
    </row>
    <row r="45" spans="1:7" s="43" customFormat="1" ht="22.5" customHeight="1" x14ac:dyDescent="0.15">
      <c r="A45" s="179"/>
      <c r="B45" s="11" t="s">
        <v>30</v>
      </c>
      <c r="C45" s="162">
        <v>471</v>
      </c>
      <c r="D45" s="161">
        <v>1225</v>
      </c>
      <c r="E45" s="162">
        <v>608</v>
      </c>
      <c r="F45" s="162">
        <v>617</v>
      </c>
      <c r="G45" s="10"/>
    </row>
    <row r="46" spans="1:7" s="43" customFormat="1" ht="22.5" customHeight="1" x14ac:dyDescent="0.15">
      <c r="A46" s="179"/>
      <c r="B46" s="11" t="s">
        <v>31</v>
      </c>
      <c r="C46" s="162">
        <v>582</v>
      </c>
      <c r="D46" s="161">
        <v>805</v>
      </c>
      <c r="E46" s="162">
        <v>419</v>
      </c>
      <c r="F46" s="162">
        <v>386</v>
      </c>
      <c r="G46" s="10"/>
    </row>
    <row r="47" spans="1:7" s="43" customFormat="1" ht="22.5" customHeight="1" x14ac:dyDescent="0.15">
      <c r="A47" s="179"/>
      <c r="B47" s="11" t="s">
        <v>32</v>
      </c>
      <c r="C47" s="162">
        <v>166</v>
      </c>
      <c r="D47" s="161">
        <v>321</v>
      </c>
      <c r="E47" s="162">
        <v>146</v>
      </c>
      <c r="F47" s="162">
        <v>175</v>
      </c>
      <c r="G47" s="10"/>
    </row>
    <row r="48" spans="1:7" s="43" customFormat="1" ht="22.5" customHeight="1" x14ac:dyDescent="0.15">
      <c r="A48" s="179"/>
      <c r="B48" s="11" t="s">
        <v>33</v>
      </c>
      <c r="C48" s="162">
        <v>416</v>
      </c>
      <c r="D48" s="161">
        <v>574</v>
      </c>
      <c r="E48" s="162">
        <v>337</v>
      </c>
      <c r="F48" s="162">
        <v>237</v>
      </c>
      <c r="G48" s="10"/>
    </row>
    <row r="49" spans="1:7" s="43" customFormat="1" ht="22.5" customHeight="1" x14ac:dyDescent="0.15">
      <c r="A49" s="179"/>
      <c r="B49" s="11" t="s">
        <v>34</v>
      </c>
      <c r="C49" s="162">
        <v>72</v>
      </c>
      <c r="D49" s="161">
        <v>114</v>
      </c>
      <c r="E49" s="162">
        <v>60</v>
      </c>
      <c r="F49" s="162">
        <v>54</v>
      </c>
      <c r="G49" s="10"/>
    </row>
    <row r="50" spans="1:7" s="43" customFormat="1" ht="22.5" customHeight="1" x14ac:dyDescent="0.15">
      <c r="A50" s="179"/>
      <c r="B50" s="11" t="s">
        <v>35</v>
      </c>
      <c r="C50" s="162">
        <v>101</v>
      </c>
      <c r="D50" s="161">
        <v>152</v>
      </c>
      <c r="E50" s="162">
        <v>89</v>
      </c>
      <c r="F50" s="162">
        <v>63</v>
      </c>
      <c r="G50" s="10"/>
    </row>
    <row r="51" spans="1:7" s="43" customFormat="1" ht="22.5" customHeight="1" x14ac:dyDescent="0.15">
      <c r="A51" s="179"/>
      <c r="B51" s="11" t="s">
        <v>36</v>
      </c>
      <c r="C51" s="162">
        <v>259</v>
      </c>
      <c r="D51" s="161">
        <v>464</v>
      </c>
      <c r="E51" s="162">
        <v>240</v>
      </c>
      <c r="F51" s="162">
        <v>224</v>
      </c>
      <c r="G51" s="10"/>
    </row>
    <row r="52" spans="1:7" s="43" customFormat="1" ht="22.5" customHeight="1" x14ac:dyDescent="0.15">
      <c r="A52" s="179"/>
      <c r="B52" s="11" t="s">
        <v>37</v>
      </c>
      <c r="C52" s="162">
        <v>75</v>
      </c>
      <c r="D52" s="161">
        <v>157</v>
      </c>
      <c r="E52" s="162">
        <v>72</v>
      </c>
      <c r="F52" s="162">
        <v>85</v>
      </c>
      <c r="G52" s="10"/>
    </row>
    <row r="53" spans="1:7" s="43" customFormat="1" ht="22.5" customHeight="1" x14ac:dyDescent="0.15">
      <c r="A53" s="179"/>
      <c r="B53" s="11" t="s">
        <v>38</v>
      </c>
      <c r="C53" s="162">
        <v>55</v>
      </c>
      <c r="D53" s="161">
        <v>93</v>
      </c>
      <c r="E53" s="162">
        <v>48</v>
      </c>
      <c r="F53" s="162">
        <v>45</v>
      </c>
      <c r="G53" s="10"/>
    </row>
    <row r="54" spans="1:7" s="43" customFormat="1" ht="22.5" customHeight="1" x14ac:dyDescent="0.15">
      <c r="A54" s="179"/>
      <c r="B54" s="11" t="s">
        <v>39</v>
      </c>
      <c r="C54" s="162">
        <v>284</v>
      </c>
      <c r="D54" s="161">
        <v>670</v>
      </c>
      <c r="E54" s="162">
        <v>345</v>
      </c>
      <c r="F54" s="162">
        <v>325</v>
      </c>
      <c r="G54" s="10"/>
    </row>
    <row r="55" spans="1:7" s="43" customFormat="1" ht="22.5" customHeight="1" x14ac:dyDescent="0.15">
      <c r="A55" s="179"/>
      <c r="B55" s="11" t="s">
        <v>40</v>
      </c>
      <c r="C55" s="162">
        <v>52</v>
      </c>
      <c r="D55" s="161">
        <v>103</v>
      </c>
      <c r="E55" s="162">
        <v>56</v>
      </c>
      <c r="F55" s="162">
        <v>47</v>
      </c>
      <c r="G55" s="12"/>
    </row>
    <row r="56" spans="1:7" s="43" customFormat="1" ht="22.5" customHeight="1" x14ac:dyDescent="0.15">
      <c r="A56" s="179"/>
      <c r="B56" s="11" t="s">
        <v>41</v>
      </c>
      <c r="C56" s="162">
        <v>91</v>
      </c>
      <c r="D56" s="161">
        <v>161</v>
      </c>
      <c r="E56" s="162">
        <v>80</v>
      </c>
      <c r="F56" s="162">
        <v>81</v>
      </c>
      <c r="G56" s="12"/>
    </row>
    <row r="57" spans="1:7" s="43" customFormat="1" ht="22.5" customHeight="1" x14ac:dyDescent="0.15">
      <c r="A57" s="179"/>
      <c r="B57" s="11" t="s">
        <v>42</v>
      </c>
      <c r="C57" s="162">
        <v>95</v>
      </c>
      <c r="D57" s="161">
        <v>146</v>
      </c>
      <c r="E57" s="162">
        <v>84</v>
      </c>
      <c r="F57" s="162">
        <v>62</v>
      </c>
      <c r="G57" s="12"/>
    </row>
    <row r="58" spans="1:7" s="43" customFormat="1" ht="22.5" customHeight="1" x14ac:dyDescent="0.15">
      <c r="A58" s="179"/>
      <c r="B58" s="11" t="s">
        <v>257</v>
      </c>
      <c r="C58" s="162">
        <v>36</v>
      </c>
      <c r="D58" s="161">
        <v>67</v>
      </c>
      <c r="E58" s="162">
        <v>36</v>
      </c>
      <c r="F58" s="162">
        <v>31</v>
      </c>
      <c r="G58" s="12"/>
    </row>
    <row r="59" spans="1:7" s="43" customFormat="1" ht="22.5" customHeight="1" thickBot="1" x14ac:dyDescent="0.2">
      <c r="A59" s="179"/>
      <c r="B59" s="11" t="s">
        <v>258</v>
      </c>
      <c r="C59" s="162">
        <v>245</v>
      </c>
      <c r="D59" s="161">
        <v>583</v>
      </c>
      <c r="E59" s="162">
        <v>274</v>
      </c>
      <c r="F59" s="162">
        <v>309</v>
      </c>
      <c r="G59" s="12"/>
    </row>
    <row r="60" spans="1:7" s="43" customFormat="1" ht="22.5" customHeight="1" thickTop="1" x14ac:dyDescent="0.15">
      <c r="A60" s="180" t="s">
        <v>200</v>
      </c>
      <c r="B60" s="7" t="s">
        <v>0</v>
      </c>
      <c r="C60" s="124">
        <f>SUM(C61:C91)</f>
        <v>5456</v>
      </c>
      <c r="D60" s="125">
        <f>SUM(D61:D91)</f>
        <v>10557</v>
      </c>
      <c r="E60" s="124">
        <f>SUM(E61:E91)</f>
        <v>5594</v>
      </c>
      <c r="F60" s="124">
        <f>SUM(F61:F91)</f>
        <v>4963</v>
      </c>
      <c r="G60" s="8"/>
    </row>
    <row r="61" spans="1:7" s="43" customFormat="1" ht="22.5" customHeight="1" x14ac:dyDescent="0.15">
      <c r="A61" s="181"/>
      <c r="B61" s="17" t="s">
        <v>43</v>
      </c>
      <c r="C61" s="162">
        <v>59</v>
      </c>
      <c r="D61" s="163">
        <v>105</v>
      </c>
      <c r="E61" s="162">
        <v>66</v>
      </c>
      <c r="F61" s="162">
        <v>39</v>
      </c>
      <c r="G61" s="89"/>
    </row>
    <row r="62" spans="1:7" s="43" customFormat="1" ht="22.5" customHeight="1" x14ac:dyDescent="0.15">
      <c r="A62" s="181"/>
      <c r="B62" s="17" t="s">
        <v>44</v>
      </c>
      <c r="C62" s="162">
        <v>60</v>
      </c>
      <c r="D62" s="163">
        <v>90</v>
      </c>
      <c r="E62" s="162">
        <v>54</v>
      </c>
      <c r="F62" s="162">
        <v>36</v>
      </c>
      <c r="G62" s="90"/>
    </row>
    <row r="63" spans="1:7" s="43" customFormat="1" ht="22.5" customHeight="1" x14ac:dyDescent="0.15">
      <c r="A63" s="181"/>
      <c r="B63" s="18" t="s">
        <v>45</v>
      </c>
      <c r="C63" s="162">
        <v>46</v>
      </c>
      <c r="D63" s="163">
        <v>73</v>
      </c>
      <c r="E63" s="162">
        <v>38</v>
      </c>
      <c r="F63" s="162">
        <v>35</v>
      </c>
      <c r="G63" s="89"/>
    </row>
    <row r="64" spans="1:7" s="43" customFormat="1" ht="22.5" customHeight="1" x14ac:dyDescent="0.15">
      <c r="A64" s="181"/>
      <c r="B64" s="17" t="s">
        <v>46</v>
      </c>
      <c r="C64" s="162">
        <v>247</v>
      </c>
      <c r="D64" s="163">
        <v>425</v>
      </c>
      <c r="E64" s="162">
        <v>244</v>
      </c>
      <c r="F64" s="162">
        <v>181</v>
      </c>
      <c r="G64" s="89"/>
    </row>
    <row r="65" spans="1:7" s="43" customFormat="1" ht="22.5" customHeight="1" x14ac:dyDescent="0.15">
      <c r="A65" s="181"/>
      <c r="B65" s="17" t="s">
        <v>47</v>
      </c>
      <c r="C65" s="162">
        <v>74</v>
      </c>
      <c r="D65" s="163">
        <v>152</v>
      </c>
      <c r="E65" s="162">
        <v>84</v>
      </c>
      <c r="F65" s="162">
        <v>68</v>
      </c>
      <c r="G65" s="89"/>
    </row>
    <row r="66" spans="1:7" s="43" customFormat="1" ht="22.5" customHeight="1" x14ac:dyDescent="0.15">
      <c r="A66" s="181"/>
      <c r="B66" s="17" t="s">
        <v>48</v>
      </c>
      <c r="C66" s="162">
        <v>32</v>
      </c>
      <c r="D66" s="163">
        <v>69</v>
      </c>
      <c r="E66" s="162">
        <v>36</v>
      </c>
      <c r="F66" s="162">
        <v>33</v>
      </c>
      <c r="G66" s="89"/>
    </row>
    <row r="67" spans="1:7" s="43" customFormat="1" ht="22.5" customHeight="1" x14ac:dyDescent="0.15">
      <c r="A67" s="181"/>
      <c r="B67" s="17" t="s">
        <v>49</v>
      </c>
      <c r="C67" s="162">
        <v>33</v>
      </c>
      <c r="D67" s="163">
        <v>54</v>
      </c>
      <c r="E67" s="162">
        <v>29</v>
      </c>
      <c r="F67" s="162">
        <v>25</v>
      </c>
      <c r="G67" s="90"/>
    </row>
    <row r="68" spans="1:7" s="43" customFormat="1" ht="22.5" customHeight="1" x14ac:dyDescent="0.15">
      <c r="A68" s="181"/>
      <c r="B68" s="18" t="s">
        <v>50</v>
      </c>
      <c r="C68" s="162">
        <v>55</v>
      </c>
      <c r="D68" s="163">
        <v>98</v>
      </c>
      <c r="E68" s="162">
        <v>49</v>
      </c>
      <c r="F68" s="162">
        <v>49</v>
      </c>
      <c r="G68" s="89"/>
    </row>
    <row r="69" spans="1:7" s="43" customFormat="1" ht="22.5" customHeight="1" x14ac:dyDescent="0.15">
      <c r="A69" s="181"/>
      <c r="B69" s="17" t="s">
        <v>51</v>
      </c>
      <c r="C69" s="162">
        <v>31</v>
      </c>
      <c r="D69" s="163">
        <v>57</v>
      </c>
      <c r="E69" s="162">
        <v>30</v>
      </c>
      <c r="F69" s="162">
        <v>27</v>
      </c>
      <c r="G69" s="89"/>
    </row>
    <row r="70" spans="1:7" s="43" customFormat="1" ht="22.5" customHeight="1" x14ac:dyDescent="0.15">
      <c r="A70" s="181"/>
      <c r="B70" s="17" t="s">
        <v>52</v>
      </c>
      <c r="C70" s="162">
        <v>79</v>
      </c>
      <c r="D70" s="163">
        <v>151</v>
      </c>
      <c r="E70" s="162">
        <v>73</v>
      </c>
      <c r="F70" s="162">
        <v>78</v>
      </c>
      <c r="G70" s="89"/>
    </row>
    <row r="71" spans="1:7" s="43" customFormat="1" ht="22.5" customHeight="1" x14ac:dyDescent="0.15">
      <c r="A71" s="181"/>
      <c r="B71" s="17" t="s">
        <v>53</v>
      </c>
      <c r="C71" s="162">
        <v>59</v>
      </c>
      <c r="D71" s="163">
        <v>102</v>
      </c>
      <c r="E71" s="162">
        <v>45</v>
      </c>
      <c r="F71" s="162">
        <v>57</v>
      </c>
      <c r="G71" s="89"/>
    </row>
    <row r="72" spans="1:7" s="43" customFormat="1" ht="22.5" customHeight="1" x14ac:dyDescent="0.15">
      <c r="A72" s="181"/>
      <c r="B72" s="17" t="s">
        <v>54</v>
      </c>
      <c r="C72" s="162">
        <v>105</v>
      </c>
      <c r="D72" s="163">
        <v>182</v>
      </c>
      <c r="E72" s="162">
        <v>92</v>
      </c>
      <c r="F72" s="162">
        <v>90</v>
      </c>
      <c r="G72" s="89"/>
    </row>
    <row r="73" spans="1:7" s="43" customFormat="1" ht="22.5" customHeight="1" x14ac:dyDescent="0.15">
      <c r="A73" s="181"/>
      <c r="B73" s="17" t="s">
        <v>55</v>
      </c>
      <c r="C73" s="162">
        <v>185</v>
      </c>
      <c r="D73" s="163">
        <v>301</v>
      </c>
      <c r="E73" s="162">
        <v>187</v>
      </c>
      <c r="F73" s="162">
        <v>114</v>
      </c>
      <c r="G73" s="89"/>
    </row>
    <row r="74" spans="1:7" s="43" customFormat="1" ht="22.5" customHeight="1" x14ac:dyDescent="0.15">
      <c r="A74" s="181"/>
      <c r="B74" s="17" t="s">
        <v>452</v>
      </c>
      <c r="C74" s="162">
        <v>518</v>
      </c>
      <c r="D74" s="163">
        <v>1011</v>
      </c>
      <c r="E74" s="162">
        <v>532</v>
      </c>
      <c r="F74" s="162">
        <v>479</v>
      </c>
      <c r="G74" s="89"/>
    </row>
    <row r="75" spans="1:7" s="43" customFormat="1" ht="22.5" customHeight="1" x14ac:dyDescent="0.15">
      <c r="A75" s="181"/>
      <c r="B75" s="17" t="s">
        <v>453</v>
      </c>
      <c r="C75" s="162">
        <v>547</v>
      </c>
      <c r="D75" s="163">
        <v>1029</v>
      </c>
      <c r="E75" s="162">
        <v>542</v>
      </c>
      <c r="F75" s="162">
        <v>487</v>
      </c>
      <c r="G75" s="89"/>
    </row>
    <row r="76" spans="1:7" s="43" customFormat="1" ht="22.5" customHeight="1" x14ac:dyDescent="0.15">
      <c r="A76" s="181"/>
      <c r="B76" s="17" t="s">
        <v>454</v>
      </c>
      <c r="C76" s="162">
        <v>546</v>
      </c>
      <c r="D76" s="163">
        <v>1175</v>
      </c>
      <c r="E76" s="162">
        <v>599</v>
      </c>
      <c r="F76" s="162">
        <v>576</v>
      </c>
      <c r="G76" s="89"/>
    </row>
    <row r="77" spans="1:7" s="43" customFormat="1" ht="22.5" customHeight="1" x14ac:dyDescent="0.15">
      <c r="A77" s="181"/>
      <c r="B77" s="17" t="s">
        <v>455</v>
      </c>
      <c r="C77" s="162">
        <v>598</v>
      </c>
      <c r="D77" s="163">
        <v>1233</v>
      </c>
      <c r="E77" s="162">
        <v>632</v>
      </c>
      <c r="F77" s="162">
        <v>601</v>
      </c>
      <c r="G77" s="89"/>
    </row>
    <row r="78" spans="1:7" s="43" customFormat="1" ht="22.5" customHeight="1" x14ac:dyDescent="0.15">
      <c r="A78" s="181"/>
      <c r="B78" s="17" t="s">
        <v>456</v>
      </c>
      <c r="C78" s="162">
        <v>543</v>
      </c>
      <c r="D78" s="163">
        <v>1098</v>
      </c>
      <c r="E78" s="162">
        <v>559</v>
      </c>
      <c r="F78" s="162">
        <v>539</v>
      </c>
      <c r="G78" s="89"/>
    </row>
    <row r="79" spans="1:7" s="43" customFormat="1" ht="22.5" customHeight="1" x14ac:dyDescent="0.15">
      <c r="A79" s="181"/>
      <c r="B79" s="17" t="s">
        <v>457</v>
      </c>
      <c r="C79" s="162">
        <v>627</v>
      </c>
      <c r="D79" s="163">
        <v>1368</v>
      </c>
      <c r="E79" s="162">
        <v>715</v>
      </c>
      <c r="F79" s="162">
        <v>653</v>
      </c>
      <c r="G79" s="89"/>
    </row>
    <row r="80" spans="1:7" s="43" customFormat="1" ht="22.5" customHeight="1" x14ac:dyDescent="0.15">
      <c r="A80" s="181"/>
      <c r="B80" s="17" t="s">
        <v>56</v>
      </c>
      <c r="C80" s="162">
        <v>46</v>
      </c>
      <c r="D80" s="163">
        <v>92</v>
      </c>
      <c r="E80" s="162">
        <v>51</v>
      </c>
      <c r="F80" s="162">
        <v>41</v>
      </c>
      <c r="G80" s="89"/>
    </row>
    <row r="81" spans="1:7" s="43" customFormat="1" ht="22.5" customHeight="1" x14ac:dyDescent="0.15">
      <c r="A81" s="181"/>
      <c r="B81" s="17" t="s">
        <v>57</v>
      </c>
      <c r="C81" s="162">
        <v>70</v>
      </c>
      <c r="D81" s="163">
        <v>125</v>
      </c>
      <c r="E81" s="162">
        <v>60</v>
      </c>
      <c r="F81" s="162">
        <v>65</v>
      </c>
      <c r="G81" s="90"/>
    </row>
    <row r="82" spans="1:7" s="43" customFormat="1" ht="22.5" customHeight="1" x14ac:dyDescent="0.15">
      <c r="A82" s="181"/>
      <c r="B82" s="17" t="s">
        <v>58</v>
      </c>
      <c r="C82" s="162">
        <v>80</v>
      </c>
      <c r="D82" s="163">
        <v>151</v>
      </c>
      <c r="E82" s="162">
        <v>74</v>
      </c>
      <c r="F82" s="162">
        <v>77</v>
      </c>
      <c r="G82" s="90"/>
    </row>
    <row r="83" spans="1:7" s="43" customFormat="1" ht="22.5" customHeight="1" x14ac:dyDescent="0.15">
      <c r="A83" s="181"/>
      <c r="B83" s="17" t="s">
        <v>59</v>
      </c>
      <c r="C83" s="162">
        <v>87</v>
      </c>
      <c r="D83" s="163">
        <v>140</v>
      </c>
      <c r="E83" s="162">
        <v>80</v>
      </c>
      <c r="F83" s="162">
        <v>60</v>
      </c>
      <c r="G83" s="90"/>
    </row>
    <row r="84" spans="1:7" s="43" customFormat="1" ht="22.5" customHeight="1" x14ac:dyDescent="0.15">
      <c r="A84" s="181"/>
      <c r="B84" s="17" t="s">
        <v>60</v>
      </c>
      <c r="C84" s="162">
        <v>90</v>
      </c>
      <c r="D84" s="163">
        <v>177</v>
      </c>
      <c r="E84" s="162">
        <v>98</v>
      </c>
      <c r="F84" s="162">
        <v>79</v>
      </c>
      <c r="G84" s="89"/>
    </row>
    <row r="85" spans="1:7" s="43" customFormat="1" ht="22.5" customHeight="1" x14ac:dyDescent="0.15">
      <c r="A85" s="181"/>
      <c r="B85" s="17" t="s">
        <v>268</v>
      </c>
      <c r="C85" s="162">
        <v>161</v>
      </c>
      <c r="D85" s="163">
        <v>215</v>
      </c>
      <c r="E85" s="162">
        <v>158</v>
      </c>
      <c r="F85" s="162">
        <v>57</v>
      </c>
      <c r="G85" s="89"/>
    </row>
    <row r="86" spans="1:7" s="43" customFormat="1" ht="22.5" customHeight="1" x14ac:dyDescent="0.15">
      <c r="A86" s="181"/>
      <c r="B86" s="17" t="s">
        <v>61</v>
      </c>
      <c r="C86" s="162">
        <v>88</v>
      </c>
      <c r="D86" s="163">
        <v>164</v>
      </c>
      <c r="E86" s="162">
        <v>92</v>
      </c>
      <c r="F86" s="162">
        <v>72</v>
      </c>
      <c r="G86" s="89"/>
    </row>
    <row r="87" spans="1:7" s="43" customFormat="1" ht="22.5" customHeight="1" x14ac:dyDescent="0.15">
      <c r="A87" s="181"/>
      <c r="B87" s="17" t="s">
        <v>62</v>
      </c>
      <c r="C87" s="162">
        <v>162</v>
      </c>
      <c r="D87" s="163">
        <v>298</v>
      </c>
      <c r="E87" s="162">
        <v>155</v>
      </c>
      <c r="F87" s="162">
        <v>143</v>
      </c>
      <c r="G87" s="89"/>
    </row>
    <row r="88" spans="1:7" s="43" customFormat="1" ht="22.5" customHeight="1" x14ac:dyDescent="0.15">
      <c r="A88" s="181"/>
      <c r="B88" s="17" t="s">
        <v>63</v>
      </c>
      <c r="C88" s="162">
        <v>97</v>
      </c>
      <c r="D88" s="163">
        <v>189</v>
      </c>
      <c r="E88" s="162">
        <v>99</v>
      </c>
      <c r="F88" s="162">
        <v>90</v>
      </c>
      <c r="G88" s="10"/>
    </row>
    <row r="89" spans="1:7" s="43" customFormat="1" ht="22.5" customHeight="1" x14ac:dyDescent="0.15">
      <c r="A89" s="181"/>
      <c r="B89" s="17" t="s">
        <v>64</v>
      </c>
      <c r="C89" s="162">
        <v>56</v>
      </c>
      <c r="D89" s="163">
        <v>97</v>
      </c>
      <c r="E89" s="162">
        <v>49</v>
      </c>
      <c r="F89" s="162">
        <v>48</v>
      </c>
      <c r="G89" s="10"/>
    </row>
    <row r="90" spans="1:7" s="43" customFormat="1" ht="22.5" customHeight="1" x14ac:dyDescent="0.15">
      <c r="A90" s="181"/>
      <c r="B90" s="17" t="s">
        <v>65</v>
      </c>
      <c r="C90" s="162">
        <v>36</v>
      </c>
      <c r="D90" s="163">
        <v>61</v>
      </c>
      <c r="E90" s="162">
        <v>33</v>
      </c>
      <c r="F90" s="162">
        <v>28</v>
      </c>
      <c r="G90" s="10"/>
    </row>
    <row r="91" spans="1:7" s="43" customFormat="1" ht="22.5" customHeight="1" thickBot="1" x14ac:dyDescent="0.2">
      <c r="A91" s="192"/>
      <c r="B91" s="17" t="s">
        <v>66</v>
      </c>
      <c r="C91" s="162">
        <v>39</v>
      </c>
      <c r="D91" s="163">
        <v>75</v>
      </c>
      <c r="E91" s="162">
        <v>39</v>
      </c>
      <c r="F91" s="162">
        <v>36</v>
      </c>
      <c r="G91" s="10"/>
    </row>
    <row r="92" spans="1:7" s="43" customFormat="1" ht="22.5" customHeight="1" thickTop="1" x14ac:dyDescent="0.15">
      <c r="A92" s="180" t="s">
        <v>269</v>
      </c>
      <c r="B92" s="7" t="s">
        <v>0</v>
      </c>
      <c r="C92" s="124">
        <f>SUM(C93:C126)</f>
        <v>2277</v>
      </c>
      <c r="D92" s="125">
        <f>SUM(D93:D126)</f>
        <v>3950</v>
      </c>
      <c r="E92" s="124">
        <f>SUM(E93:E126)</f>
        <v>1990</v>
      </c>
      <c r="F92" s="124">
        <f>SUM(F93:F126)</f>
        <v>1960</v>
      </c>
      <c r="G92" s="8"/>
    </row>
    <row r="93" spans="1:7" s="43" customFormat="1" ht="22.5" customHeight="1" x14ac:dyDescent="0.15">
      <c r="A93" s="181"/>
      <c r="B93" s="19" t="s">
        <v>458</v>
      </c>
      <c r="C93" s="265">
        <v>107</v>
      </c>
      <c r="D93" s="249">
        <v>163</v>
      </c>
      <c r="E93" s="266">
        <v>81</v>
      </c>
      <c r="F93" s="266">
        <v>82</v>
      </c>
      <c r="G93" s="10"/>
    </row>
    <row r="94" spans="1:7" s="43" customFormat="1" ht="22.5" customHeight="1" x14ac:dyDescent="0.15">
      <c r="A94" s="181"/>
      <c r="B94" s="20" t="s">
        <v>459</v>
      </c>
      <c r="C94" s="267">
        <v>94</v>
      </c>
      <c r="D94" s="249">
        <v>167</v>
      </c>
      <c r="E94" s="268">
        <v>91</v>
      </c>
      <c r="F94" s="268">
        <v>76</v>
      </c>
      <c r="G94" s="12"/>
    </row>
    <row r="95" spans="1:7" s="43" customFormat="1" ht="22.5" customHeight="1" x14ac:dyDescent="0.15">
      <c r="A95" s="181"/>
      <c r="B95" s="21" t="s">
        <v>460</v>
      </c>
      <c r="C95" s="269">
        <v>49</v>
      </c>
      <c r="D95" s="249">
        <v>83</v>
      </c>
      <c r="E95" s="270">
        <v>44</v>
      </c>
      <c r="F95" s="270">
        <v>39</v>
      </c>
      <c r="G95" s="15"/>
    </row>
    <row r="96" spans="1:7" s="43" customFormat="1" ht="22.5" customHeight="1" x14ac:dyDescent="0.15">
      <c r="A96" s="181"/>
      <c r="B96" s="19" t="s">
        <v>461</v>
      </c>
      <c r="C96" s="265">
        <v>81</v>
      </c>
      <c r="D96" s="249">
        <v>147</v>
      </c>
      <c r="E96" s="266">
        <v>71</v>
      </c>
      <c r="F96" s="266">
        <v>76</v>
      </c>
      <c r="G96" s="10"/>
    </row>
    <row r="97" spans="1:7" s="43" customFormat="1" ht="22.5" customHeight="1" x14ac:dyDescent="0.15">
      <c r="A97" s="181"/>
      <c r="B97" s="19" t="s">
        <v>462</v>
      </c>
      <c r="C97" s="265">
        <v>56</v>
      </c>
      <c r="D97" s="249">
        <v>91</v>
      </c>
      <c r="E97" s="268">
        <v>47</v>
      </c>
      <c r="F97" s="268">
        <v>44</v>
      </c>
      <c r="G97" s="10"/>
    </row>
    <row r="98" spans="1:7" s="43" customFormat="1" ht="22.5" customHeight="1" x14ac:dyDescent="0.15">
      <c r="A98" s="181"/>
      <c r="B98" s="19" t="s">
        <v>463</v>
      </c>
      <c r="C98" s="265">
        <v>53</v>
      </c>
      <c r="D98" s="249">
        <v>90</v>
      </c>
      <c r="E98" s="268">
        <v>44</v>
      </c>
      <c r="F98" s="268">
        <v>46</v>
      </c>
      <c r="G98" s="10"/>
    </row>
    <row r="99" spans="1:7" s="43" customFormat="1" ht="22.5" customHeight="1" x14ac:dyDescent="0.15">
      <c r="A99" s="181"/>
      <c r="B99" s="19" t="s">
        <v>464</v>
      </c>
      <c r="C99" s="265">
        <v>50</v>
      </c>
      <c r="D99" s="249">
        <v>83</v>
      </c>
      <c r="E99" s="268">
        <v>38</v>
      </c>
      <c r="F99" s="268">
        <v>45</v>
      </c>
      <c r="G99" s="10"/>
    </row>
    <row r="100" spans="1:7" s="43" customFormat="1" ht="22.5" customHeight="1" x14ac:dyDescent="0.15">
      <c r="A100" s="181"/>
      <c r="B100" s="19" t="s">
        <v>465</v>
      </c>
      <c r="C100" s="265">
        <v>221</v>
      </c>
      <c r="D100" s="249">
        <v>389</v>
      </c>
      <c r="E100" s="268">
        <v>152</v>
      </c>
      <c r="F100" s="268">
        <v>237</v>
      </c>
      <c r="G100" s="10"/>
    </row>
    <row r="101" spans="1:7" s="43" customFormat="1" ht="22.5" customHeight="1" x14ac:dyDescent="0.15">
      <c r="A101" s="181"/>
      <c r="B101" s="19" t="s">
        <v>270</v>
      </c>
      <c r="C101" s="265">
        <v>40</v>
      </c>
      <c r="D101" s="249">
        <v>76</v>
      </c>
      <c r="E101" s="268">
        <v>39</v>
      </c>
      <c r="F101" s="268">
        <v>37</v>
      </c>
      <c r="G101" s="10"/>
    </row>
    <row r="102" spans="1:7" s="43" customFormat="1" ht="22.5" customHeight="1" x14ac:dyDescent="0.15">
      <c r="A102" s="181"/>
      <c r="B102" s="19" t="s">
        <v>271</v>
      </c>
      <c r="C102" s="265">
        <v>31</v>
      </c>
      <c r="D102" s="249">
        <v>62</v>
      </c>
      <c r="E102" s="268">
        <v>35</v>
      </c>
      <c r="F102" s="268">
        <v>27</v>
      </c>
      <c r="G102" s="10"/>
    </row>
    <row r="103" spans="1:7" s="43" customFormat="1" ht="22.5" customHeight="1" x14ac:dyDescent="0.15">
      <c r="A103" s="181"/>
      <c r="B103" s="19" t="s">
        <v>272</v>
      </c>
      <c r="C103" s="265">
        <v>69</v>
      </c>
      <c r="D103" s="249">
        <v>119</v>
      </c>
      <c r="E103" s="268">
        <v>59</v>
      </c>
      <c r="F103" s="268">
        <v>60</v>
      </c>
      <c r="G103" s="10"/>
    </row>
    <row r="104" spans="1:7" s="43" customFormat="1" ht="22.5" customHeight="1" x14ac:dyDescent="0.15">
      <c r="A104" s="181"/>
      <c r="B104" s="19" t="s">
        <v>273</v>
      </c>
      <c r="C104" s="271">
        <v>52</v>
      </c>
      <c r="D104" s="249">
        <v>91</v>
      </c>
      <c r="E104" s="268">
        <v>49</v>
      </c>
      <c r="F104" s="268">
        <v>42</v>
      </c>
      <c r="G104" s="10"/>
    </row>
    <row r="105" spans="1:7" s="43" customFormat="1" ht="22.5" customHeight="1" x14ac:dyDescent="0.15">
      <c r="A105" s="181"/>
      <c r="B105" s="19" t="s">
        <v>466</v>
      </c>
      <c r="C105" s="265">
        <v>74</v>
      </c>
      <c r="D105" s="249">
        <v>138</v>
      </c>
      <c r="E105" s="268">
        <v>65</v>
      </c>
      <c r="F105" s="268">
        <v>73</v>
      </c>
      <c r="G105" s="10"/>
    </row>
    <row r="106" spans="1:7" s="43" customFormat="1" ht="22.5" customHeight="1" x14ac:dyDescent="0.15">
      <c r="A106" s="181"/>
      <c r="B106" s="19" t="s">
        <v>467</v>
      </c>
      <c r="C106" s="265">
        <v>63</v>
      </c>
      <c r="D106" s="249">
        <v>116</v>
      </c>
      <c r="E106" s="268">
        <v>62</v>
      </c>
      <c r="F106" s="268">
        <v>54</v>
      </c>
      <c r="G106" s="10"/>
    </row>
    <row r="107" spans="1:7" s="43" customFormat="1" ht="22.5" customHeight="1" x14ac:dyDescent="0.15">
      <c r="A107" s="181"/>
      <c r="B107" s="19" t="s">
        <v>468</v>
      </c>
      <c r="C107" s="265">
        <v>35</v>
      </c>
      <c r="D107" s="249">
        <v>60</v>
      </c>
      <c r="E107" s="268">
        <v>33</v>
      </c>
      <c r="F107" s="268">
        <v>27</v>
      </c>
      <c r="G107" s="10"/>
    </row>
    <row r="108" spans="1:7" s="43" customFormat="1" ht="22.5" customHeight="1" x14ac:dyDescent="0.15">
      <c r="A108" s="181"/>
      <c r="B108" s="19" t="s">
        <v>469</v>
      </c>
      <c r="C108" s="265">
        <v>37</v>
      </c>
      <c r="D108" s="249">
        <v>79</v>
      </c>
      <c r="E108" s="268">
        <v>41</v>
      </c>
      <c r="F108" s="268">
        <v>38</v>
      </c>
      <c r="G108" s="10"/>
    </row>
    <row r="109" spans="1:7" s="43" customFormat="1" ht="22.5" customHeight="1" x14ac:dyDescent="0.15">
      <c r="A109" s="181"/>
      <c r="B109" s="19" t="s">
        <v>470</v>
      </c>
      <c r="C109" s="265">
        <v>95</v>
      </c>
      <c r="D109" s="249">
        <v>168</v>
      </c>
      <c r="E109" s="266">
        <v>83</v>
      </c>
      <c r="F109" s="266">
        <v>85</v>
      </c>
      <c r="G109" s="10"/>
    </row>
    <row r="110" spans="1:7" s="43" customFormat="1" ht="22.5" customHeight="1" x14ac:dyDescent="0.15">
      <c r="A110" s="181"/>
      <c r="B110" s="19" t="s">
        <v>471</v>
      </c>
      <c r="C110" s="265">
        <v>71</v>
      </c>
      <c r="D110" s="249">
        <v>128</v>
      </c>
      <c r="E110" s="266">
        <v>70</v>
      </c>
      <c r="F110" s="266">
        <v>58</v>
      </c>
      <c r="G110" s="10"/>
    </row>
    <row r="111" spans="1:7" s="43" customFormat="1" ht="22.5" customHeight="1" x14ac:dyDescent="0.15">
      <c r="A111" s="181"/>
      <c r="B111" s="19" t="s">
        <v>472</v>
      </c>
      <c r="C111" s="265">
        <v>33</v>
      </c>
      <c r="D111" s="249">
        <v>56</v>
      </c>
      <c r="E111" s="268">
        <v>28</v>
      </c>
      <c r="F111" s="268">
        <v>28</v>
      </c>
      <c r="G111" s="10"/>
    </row>
    <row r="112" spans="1:7" s="43" customFormat="1" ht="22.5" customHeight="1" x14ac:dyDescent="0.15">
      <c r="A112" s="181"/>
      <c r="B112" s="19" t="s">
        <v>473</v>
      </c>
      <c r="C112" s="265">
        <v>38</v>
      </c>
      <c r="D112" s="249">
        <v>62</v>
      </c>
      <c r="E112" s="268">
        <v>33</v>
      </c>
      <c r="F112" s="268">
        <v>29</v>
      </c>
      <c r="G112" s="10"/>
    </row>
    <row r="113" spans="1:7" s="43" customFormat="1" ht="22.5" customHeight="1" x14ac:dyDescent="0.15">
      <c r="A113" s="181"/>
      <c r="B113" s="19" t="s">
        <v>474</v>
      </c>
      <c r="C113" s="265">
        <v>68</v>
      </c>
      <c r="D113" s="249">
        <v>138</v>
      </c>
      <c r="E113" s="268">
        <v>72</v>
      </c>
      <c r="F113" s="268">
        <v>66</v>
      </c>
      <c r="G113" s="10"/>
    </row>
    <row r="114" spans="1:7" s="43" customFormat="1" ht="22.5" customHeight="1" x14ac:dyDescent="0.15">
      <c r="A114" s="181"/>
      <c r="B114" s="19" t="s">
        <v>475</v>
      </c>
      <c r="C114" s="265">
        <v>157</v>
      </c>
      <c r="D114" s="249">
        <v>265</v>
      </c>
      <c r="E114" s="268">
        <v>123</v>
      </c>
      <c r="F114" s="268">
        <v>142</v>
      </c>
      <c r="G114" s="10"/>
    </row>
    <row r="115" spans="1:7" s="43" customFormat="1" ht="22.5" customHeight="1" x14ac:dyDescent="0.15">
      <c r="A115" s="181"/>
      <c r="B115" s="19" t="s">
        <v>476</v>
      </c>
      <c r="C115" s="265">
        <v>29</v>
      </c>
      <c r="D115" s="249">
        <v>53</v>
      </c>
      <c r="E115" s="268">
        <v>30</v>
      </c>
      <c r="F115" s="268">
        <v>23</v>
      </c>
      <c r="G115" s="10"/>
    </row>
    <row r="116" spans="1:7" s="43" customFormat="1" ht="22.5" customHeight="1" x14ac:dyDescent="0.15">
      <c r="A116" s="181"/>
      <c r="B116" s="19" t="s">
        <v>477</v>
      </c>
      <c r="C116" s="265">
        <v>29</v>
      </c>
      <c r="D116" s="249">
        <v>57</v>
      </c>
      <c r="E116" s="268">
        <v>26</v>
      </c>
      <c r="F116" s="268">
        <v>31</v>
      </c>
      <c r="G116" s="10"/>
    </row>
    <row r="117" spans="1:7" s="43" customFormat="1" ht="22.5" customHeight="1" x14ac:dyDescent="0.15">
      <c r="A117" s="181"/>
      <c r="B117" s="19" t="s">
        <v>478</v>
      </c>
      <c r="C117" s="265">
        <v>40</v>
      </c>
      <c r="D117" s="249">
        <v>74</v>
      </c>
      <c r="E117" s="268">
        <v>37</v>
      </c>
      <c r="F117" s="268">
        <v>37</v>
      </c>
      <c r="G117" s="10"/>
    </row>
    <row r="118" spans="1:7" s="43" customFormat="1" ht="22.5" customHeight="1" x14ac:dyDescent="0.15">
      <c r="A118" s="181"/>
      <c r="B118" s="21" t="s">
        <v>479</v>
      </c>
      <c r="C118" s="269">
        <v>57</v>
      </c>
      <c r="D118" s="249">
        <v>100</v>
      </c>
      <c r="E118" s="270">
        <v>54</v>
      </c>
      <c r="F118" s="270">
        <v>46</v>
      </c>
      <c r="G118" s="15"/>
    </row>
    <row r="119" spans="1:7" s="43" customFormat="1" ht="22.5" customHeight="1" x14ac:dyDescent="0.15">
      <c r="A119" s="181"/>
      <c r="B119" s="19" t="s">
        <v>770</v>
      </c>
      <c r="C119" s="265">
        <v>82</v>
      </c>
      <c r="D119" s="249">
        <v>127</v>
      </c>
      <c r="E119" s="266">
        <v>71</v>
      </c>
      <c r="F119" s="266">
        <v>56</v>
      </c>
      <c r="G119" s="10"/>
    </row>
    <row r="120" spans="1:7" s="43" customFormat="1" ht="22.5" customHeight="1" x14ac:dyDescent="0.15">
      <c r="A120" s="181"/>
      <c r="B120" s="22" t="s">
        <v>480</v>
      </c>
      <c r="C120" s="272">
        <v>41</v>
      </c>
      <c r="D120" s="249">
        <v>72</v>
      </c>
      <c r="E120" s="273">
        <v>37</v>
      </c>
      <c r="F120" s="273">
        <v>35</v>
      </c>
      <c r="G120" s="23"/>
    </row>
    <row r="121" spans="1:7" s="43" customFormat="1" ht="22.5" customHeight="1" x14ac:dyDescent="0.15">
      <c r="A121" s="181"/>
      <c r="B121" s="19" t="s">
        <v>481</v>
      </c>
      <c r="C121" s="265">
        <v>76</v>
      </c>
      <c r="D121" s="249">
        <v>118</v>
      </c>
      <c r="E121" s="266">
        <v>66</v>
      </c>
      <c r="F121" s="266">
        <v>52</v>
      </c>
      <c r="G121" s="10"/>
    </row>
    <row r="122" spans="1:7" s="43" customFormat="1" ht="22.5" customHeight="1" x14ac:dyDescent="0.15">
      <c r="A122" s="181"/>
      <c r="B122" s="19" t="s">
        <v>482</v>
      </c>
      <c r="C122" s="265">
        <v>87</v>
      </c>
      <c r="D122" s="249">
        <v>157</v>
      </c>
      <c r="E122" s="268">
        <v>83</v>
      </c>
      <c r="F122" s="268">
        <v>74</v>
      </c>
      <c r="G122" s="10"/>
    </row>
    <row r="123" spans="1:7" s="43" customFormat="1" ht="22.5" customHeight="1" x14ac:dyDescent="0.15">
      <c r="A123" s="181"/>
      <c r="B123" s="19" t="s">
        <v>483</v>
      </c>
      <c r="C123" s="265">
        <v>91</v>
      </c>
      <c r="D123" s="249">
        <v>135</v>
      </c>
      <c r="E123" s="268">
        <v>68</v>
      </c>
      <c r="F123" s="268">
        <v>67</v>
      </c>
      <c r="G123" s="10"/>
    </row>
    <row r="124" spans="1:7" s="43" customFormat="1" ht="22.5" customHeight="1" x14ac:dyDescent="0.15">
      <c r="A124" s="181"/>
      <c r="B124" s="19" t="s">
        <v>484</v>
      </c>
      <c r="C124" s="265">
        <v>76</v>
      </c>
      <c r="D124" s="249">
        <v>126</v>
      </c>
      <c r="E124" s="268">
        <v>75</v>
      </c>
      <c r="F124" s="268">
        <v>51</v>
      </c>
      <c r="G124" s="10"/>
    </row>
    <row r="125" spans="1:7" s="43" customFormat="1" ht="22.5" customHeight="1" x14ac:dyDescent="0.15">
      <c r="A125" s="181"/>
      <c r="B125" s="19" t="s">
        <v>485</v>
      </c>
      <c r="C125" s="265">
        <v>55</v>
      </c>
      <c r="D125" s="249">
        <v>100</v>
      </c>
      <c r="E125" s="268">
        <v>55</v>
      </c>
      <c r="F125" s="268">
        <v>45</v>
      </c>
      <c r="G125" s="15"/>
    </row>
    <row r="126" spans="1:7" s="43" customFormat="1" ht="22.5" customHeight="1" thickBot="1" x14ac:dyDescent="0.2">
      <c r="A126" s="192"/>
      <c r="B126" s="24" t="s">
        <v>501</v>
      </c>
      <c r="C126" s="274">
        <v>40</v>
      </c>
      <c r="D126" s="249">
        <v>60</v>
      </c>
      <c r="E126" s="275">
        <v>28</v>
      </c>
      <c r="F126" s="275">
        <v>32</v>
      </c>
      <c r="G126" s="25"/>
    </row>
    <row r="127" spans="1:7" s="43" customFormat="1" ht="22.5" customHeight="1" thickTop="1" x14ac:dyDescent="0.15">
      <c r="A127" s="180" t="s">
        <v>274</v>
      </c>
      <c r="B127" s="26" t="s">
        <v>0</v>
      </c>
      <c r="C127" s="128">
        <f>SUM(C128:C154)</f>
        <v>2398</v>
      </c>
      <c r="D127" s="129">
        <f t="shared" ref="D127:F127" si="0">SUM(D128:D154)</f>
        <v>3976</v>
      </c>
      <c r="E127" s="128">
        <f t="shared" si="0"/>
        <v>2085</v>
      </c>
      <c r="F127" s="128">
        <f t="shared" si="0"/>
        <v>1891</v>
      </c>
      <c r="G127" s="27"/>
    </row>
    <row r="128" spans="1:7" s="43" customFormat="1" ht="22.5" customHeight="1" x14ac:dyDescent="0.15">
      <c r="A128" s="181"/>
      <c r="B128" s="19" t="s">
        <v>503</v>
      </c>
      <c r="C128" s="162">
        <v>61</v>
      </c>
      <c r="D128" s="249">
        <v>112</v>
      </c>
      <c r="E128" s="162">
        <v>53</v>
      </c>
      <c r="F128" s="162">
        <v>59</v>
      </c>
      <c r="G128" s="91"/>
    </row>
    <row r="129" spans="1:7" s="43" customFormat="1" ht="22.5" customHeight="1" x14ac:dyDescent="0.15">
      <c r="A129" s="181"/>
      <c r="B129" s="19" t="s">
        <v>504</v>
      </c>
      <c r="C129" s="162">
        <v>53</v>
      </c>
      <c r="D129" s="249">
        <v>86</v>
      </c>
      <c r="E129" s="162">
        <v>49</v>
      </c>
      <c r="F129" s="162">
        <v>37</v>
      </c>
      <c r="G129" s="91"/>
    </row>
    <row r="130" spans="1:7" s="43" customFormat="1" ht="22.5" customHeight="1" x14ac:dyDescent="0.15">
      <c r="A130" s="181"/>
      <c r="B130" s="19" t="s">
        <v>505</v>
      </c>
      <c r="C130" s="162">
        <v>59</v>
      </c>
      <c r="D130" s="249">
        <v>93</v>
      </c>
      <c r="E130" s="162">
        <v>55</v>
      </c>
      <c r="F130" s="162">
        <v>38</v>
      </c>
      <c r="G130" s="91"/>
    </row>
    <row r="131" spans="1:7" s="43" customFormat="1" ht="22.5" customHeight="1" x14ac:dyDescent="0.15">
      <c r="A131" s="181"/>
      <c r="B131" s="19" t="s">
        <v>506</v>
      </c>
      <c r="C131" s="162">
        <v>57</v>
      </c>
      <c r="D131" s="249">
        <v>92</v>
      </c>
      <c r="E131" s="162">
        <v>46</v>
      </c>
      <c r="F131" s="162">
        <v>46</v>
      </c>
      <c r="G131" s="91"/>
    </row>
    <row r="132" spans="1:7" s="43" customFormat="1" ht="22.5" customHeight="1" x14ac:dyDescent="0.15">
      <c r="A132" s="181"/>
      <c r="B132" s="19" t="s">
        <v>507</v>
      </c>
      <c r="C132" s="162">
        <v>88</v>
      </c>
      <c r="D132" s="249">
        <v>160</v>
      </c>
      <c r="E132" s="162">
        <v>79</v>
      </c>
      <c r="F132" s="162">
        <v>81</v>
      </c>
      <c r="G132" s="91"/>
    </row>
    <row r="133" spans="1:7" s="43" customFormat="1" ht="22.5" customHeight="1" x14ac:dyDescent="0.15">
      <c r="A133" s="181"/>
      <c r="B133" s="19" t="s">
        <v>508</v>
      </c>
      <c r="C133" s="162">
        <v>51</v>
      </c>
      <c r="D133" s="249">
        <v>83</v>
      </c>
      <c r="E133" s="162">
        <v>43</v>
      </c>
      <c r="F133" s="162">
        <v>40</v>
      </c>
      <c r="G133" s="91"/>
    </row>
    <row r="134" spans="1:7" s="43" customFormat="1" ht="22.5" customHeight="1" x14ac:dyDescent="0.15">
      <c r="A134" s="181"/>
      <c r="B134" s="19" t="s">
        <v>275</v>
      </c>
      <c r="C134" s="162">
        <v>76</v>
      </c>
      <c r="D134" s="249">
        <v>115</v>
      </c>
      <c r="E134" s="162">
        <v>63</v>
      </c>
      <c r="F134" s="162">
        <v>52</v>
      </c>
      <c r="G134" s="91"/>
    </row>
    <row r="135" spans="1:7" s="43" customFormat="1" ht="22.5" customHeight="1" x14ac:dyDescent="0.15">
      <c r="A135" s="181"/>
      <c r="B135" s="19" t="s">
        <v>509</v>
      </c>
      <c r="C135" s="162">
        <v>28</v>
      </c>
      <c r="D135" s="249">
        <v>48</v>
      </c>
      <c r="E135" s="162">
        <v>22</v>
      </c>
      <c r="F135" s="162">
        <v>26</v>
      </c>
      <c r="G135" s="91"/>
    </row>
    <row r="136" spans="1:7" s="43" customFormat="1" ht="22.5" customHeight="1" x14ac:dyDescent="0.15">
      <c r="A136" s="181"/>
      <c r="B136" s="19" t="s">
        <v>510</v>
      </c>
      <c r="C136" s="162">
        <v>77</v>
      </c>
      <c r="D136" s="249">
        <v>131</v>
      </c>
      <c r="E136" s="162">
        <v>67</v>
      </c>
      <c r="F136" s="162">
        <v>64</v>
      </c>
      <c r="G136" s="91"/>
    </row>
    <row r="137" spans="1:7" s="43" customFormat="1" ht="22.5" customHeight="1" x14ac:dyDescent="0.15">
      <c r="A137" s="181"/>
      <c r="B137" s="19" t="s">
        <v>511</v>
      </c>
      <c r="C137" s="162">
        <v>102</v>
      </c>
      <c r="D137" s="249">
        <v>189</v>
      </c>
      <c r="E137" s="162">
        <v>98</v>
      </c>
      <c r="F137" s="162">
        <v>91</v>
      </c>
      <c r="G137" s="91"/>
    </row>
    <row r="138" spans="1:7" s="43" customFormat="1" ht="22.5" customHeight="1" x14ac:dyDescent="0.15">
      <c r="A138" s="181"/>
      <c r="B138" s="19" t="s">
        <v>512</v>
      </c>
      <c r="C138" s="162">
        <v>71</v>
      </c>
      <c r="D138" s="249">
        <v>127</v>
      </c>
      <c r="E138" s="162">
        <v>70</v>
      </c>
      <c r="F138" s="162">
        <v>57</v>
      </c>
      <c r="G138" s="91"/>
    </row>
    <row r="139" spans="1:7" s="43" customFormat="1" ht="22.5" customHeight="1" x14ac:dyDescent="0.15">
      <c r="A139" s="181"/>
      <c r="B139" s="19" t="s">
        <v>513</v>
      </c>
      <c r="C139" s="162">
        <v>199</v>
      </c>
      <c r="D139" s="249">
        <v>293</v>
      </c>
      <c r="E139" s="162">
        <v>156</v>
      </c>
      <c r="F139" s="162">
        <v>137</v>
      </c>
      <c r="G139" s="91"/>
    </row>
    <row r="140" spans="1:7" s="43" customFormat="1" ht="22.5" customHeight="1" x14ac:dyDescent="0.15">
      <c r="A140" s="181"/>
      <c r="B140" s="19" t="s">
        <v>514</v>
      </c>
      <c r="C140" s="162">
        <v>183</v>
      </c>
      <c r="D140" s="249">
        <v>301</v>
      </c>
      <c r="E140" s="162">
        <v>157</v>
      </c>
      <c r="F140" s="162">
        <v>144</v>
      </c>
      <c r="G140" s="91"/>
    </row>
    <row r="141" spans="1:7" s="43" customFormat="1" ht="22.5" customHeight="1" x14ac:dyDescent="0.15">
      <c r="A141" s="181"/>
      <c r="B141" s="19" t="s">
        <v>515</v>
      </c>
      <c r="C141" s="162">
        <v>249</v>
      </c>
      <c r="D141" s="249">
        <v>375</v>
      </c>
      <c r="E141" s="162">
        <v>197</v>
      </c>
      <c r="F141" s="162">
        <v>178</v>
      </c>
      <c r="G141" s="91"/>
    </row>
    <row r="142" spans="1:7" s="43" customFormat="1" ht="22.5" customHeight="1" x14ac:dyDescent="0.15">
      <c r="A142" s="181"/>
      <c r="B142" s="19" t="s">
        <v>276</v>
      </c>
      <c r="C142" s="162">
        <v>108</v>
      </c>
      <c r="D142" s="249">
        <v>172</v>
      </c>
      <c r="E142" s="162">
        <v>102</v>
      </c>
      <c r="F142" s="162">
        <v>70</v>
      </c>
      <c r="G142" s="91"/>
    </row>
    <row r="143" spans="1:7" s="43" customFormat="1" ht="22.5" customHeight="1" x14ac:dyDescent="0.15">
      <c r="A143" s="181"/>
      <c r="B143" s="19" t="s">
        <v>516</v>
      </c>
      <c r="C143" s="162">
        <v>96</v>
      </c>
      <c r="D143" s="249">
        <v>152</v>
      </c>
      <c r="E143" s="162">
        <v>76</v>
      </c>
      <c r="F143" s="162">
        <v>76</v>
      </c>
      <c r="G143" s="91"/>
    </row>
    <row r="144" spans="1:7" s="43" customFormat="1" ht="22.5" customHeight="1" x14ac:dyDescent="0.15">
      <c r="A144" s="181"/>
      <c r="B144" s="19" t="s">
        <v>517</v>
      </c>
      <c r="C144" s="162">
        <v>143</v>
      </c>
      <c r="D144" s="249">
        <v>186</v>
      </c>
      <c r="E144" s="162">
        <v>100</v>
      </c>
      <c r="F144" s="162">
        <v>86</v>
      </c>
      <c r="G144" s="91"/>
    </row>
    <row r="145" spans="1:7" s="43" customFormat="1" ht="22.5" customHeight="1" x14ac:dyDescent="0.15">
      <c r="A145" s="181"/>
      <c r="B145" s="19" t="s">
        <v>518</v>
      </c>
      <c r="C145" s="162">
        <v>144</v>
      </c>
      <c r="D145" s="249">
        <v>245</v>
      </c>
      <c r="E145" s="162">
        <v>126</v>
      </c>
      <c r="F145" s="162">
        <v>119</v>
      </c>
      <c r="G145" s="91"/>
    </row>
    <row r="146" spans="1:7" s="43" customFormat="1" ht="22.5" customHeight="1" x14ac:dyDescent="0.15">
      <c r="A146" s="181"/>
      <c r="B146" s="19" t="s">
        <v>519</v>
      </c>
      <c r="C146" s="162">
        <v>76</v>
      </c>
      <c r="D146" s="249">
        <v>149</v>
      </c>
      <c r="E146" s="162">
        <v>73</v>
      </c>
      <c r="F146" s="162">
        <v>76</v>
      </c>
      <c r="G146" s="91"/>
    </row>
    <row r="147" spans="1:7" s="43" customFormat="1" ht="22.5" customHeight="1" x14ac:dyDescent="0.15">
      <c r="A147" s="181"/>
      <c r="B147" s="19" t="s">
        <v>520</v>
      </c>
      <c r="C147" s="162">
        <v>44</v>
      </c>
      <c r="D147" s="249">
        <v>66</v>
      </c>
      <c r="E147" s="162">
        <v>38</v>
      </c>
      <c r="F147" s="162">
        <v>28</v>
      </c>
      <c r="G147" s="91"/>
    </row>
    <row r="148" spans="1:7" s="43" customFormat="1" ht="22.5" customHeight="1" x14ac:dyDescent="0.15">
      <c r="A148" s="181"/>
      <c r="B148" s="19" t="s">
        <v>521</v>
      </c>
      <c r="C148" s="162">
        <v>61</v>
      </c>
      <c r="D148" s="249">
        <v>122</v>
      </c>
      <c r="E148" s="162">
        <v>66</v>
      </c>
      <c r="F148" s="162">
        <v>56</v>
      </c>
      <c r="G148" s="91"/>
    </row>
    <row r="149" spans="1:7" s="43" customFormat="1" ht="22.5" customHeight="1" x14ac:dyDescent="0.15">
      <c r="A149" s="181"/>
      <c r="B149" s="21" t="s">
        <v>522</v>
      </c>
      <c r="C149" s="162">
        <v>104</v>
      </c>
      <c r="D149" s="249">
        <v>222</v>
      </c>
      <c r="E149" s="162">
        <v>112</v>
      </c>
      <c r="F149" s="162">
        <v>110</v>
      </c>
      <c r="G149" s="92"/>
    </row>
    <row r="150" spans="1:7" s="43" customFormat="1" ht="22.5" customHeight="1" thickBot="1" x14ac:dyDescent="0.2">
      <c r="A150" s="193"/>
      <c r="B150" s="19" t="s">
        <v>277</v>
      </c>
      <c r="C150" s="162">
        <v>71</v>
      </c>
      <c r="D150" s="249">
        <v>113</v>
      </c>
      <c r="E150" s="162">
        <v>56</v>
      </c>
      <c r="F150" s="162">
        <v>57</v>
      </c>
      <c r="G150" s="91"/>
    </row>
    <row r="151" spans="1:7" s="43" customFormat="1" ht="22.5" customHeight="1" thickTop="1" thickBot="1" x14ac:dyDescent="0.2">
      <c r="A151" s="193"/>
      <c r="B151" s="19" t="s">
        <v>523</v>
      </c>
      <c r="C151" s="162">
        <v>61</v>
      </c>
      <c r="D151" s="249">
        <v>111</v>
      </c>
      <c r="E151" s="162">
        <v>51</v>
      </c>
      <c r="F151" s="162">
        <v>60</v>
      </c>
      <c r="G151" s="91"/>
    </row>
    <row r="152" spans="1:7" s="43" customFormat="1" ht="22.5" customHeight="1" thickTop="1" thickBot="1" x14ac:dyDescent="0.2">
      <c r="A152" s="194"/>
      <c r="B152" s="19" t="s">
        <v>524</v>
      </c>
      <c r="C152" s="162">
        <v>29</v>
      </c>
      <c r="D152" s="249">
        <v>57</v>
      </c>
      <c r="E152" s="162">
        <v>31</v>
      </c>
      <c r="F152" s="162">
        <v>26</v>
      </c>
      <c r="G152" s="91"/>
    </row>
    <row r="153" spans="1:7" s="43" customFormat="1" ht="22.5" customHeight="1" thickTop="1" thickBot="1" x14ac:dyDescent="0.2">
      <c r="A153" s="195"/>
      <c r="B153" s="19" t="s">
        <v>525</v>
      </c>
      <c r="C153" s="162">
        <v>32</v>
      </c>
      <c r="D153" s="249">
        <v>69</v>
      </c>
      <c r="E153" s="162">
        <v>38</v>
      </c>
      <c r="F153" s="162">
        <v>31</v>
      </c>
      <c r="G153" s="91"/>
    </row>
    <row r="154" spans="1:7" s="43" customFormat="1" ht="22.5" customHeight="1" thickTop="1" thickBot="1" x14ac:dyDescent="0.2">
      <c r="A154" s="196"/>
      <c r="B154" s="24" t="s">
        <v>278</v>
      </c>
      <c r="C154" s="126">
        <v>75</v>
      </c>
      <c r="D154" s="249">
        <v>107</v>
      </c>
      <c r="E154" s="126">
        <v>61</v>
      </c>
      <c r="F154" s="126">
        <v>46</v>
      </c>
      <c r="G154" s="93"/>
    </row>
    <row r="155" spans="1:7" s="43" customFormat="1" ht="22.5" customHeight="1" thickTop="1" x14ac:dyDescent="0.15">
      <c r="A155" s="174" t="s">
        <v>279</v>
      </c>
      <c r="B155" s="26" t="s">
        <v>0</v>
      </c>
      <c r="C155" s="128">
        <f>SUM(C156:C184)</f>
        <v>1516</v>
      </c>
      <c r="D155" s="129">
        <f>SUM(D156:D184)</f>
        <v>2734</v>
      </c>
      <c r="E155" s="128">
        <f>SUM(E156:E184)</f>
        <v>1452</v>
      </c>
      <c r="F155" s="128">
        <f>SUM(F156:F184)</f>
        <v>1282</v>
      </c>
      <c r="G155" s="27"/>
    </row>
    <row r="156" spans="1:7" s="43" customFormat="1" ht="22.5" customHeight="1" x14ac:dyDescent="0.15">
      <c r="A156" s="175"/>
      <c r="B156" s="19" t="s">
        <v>526</v>
      </c>
      <c r="C156" s="162">
        <v>75</v>
      </c>
      <c r="D156" s="249">
        <v>131</v>
      </c>
      <c r="E156" s="162">
        <v>65</v>
      </c>
      <c r="F156" s="162">
        <v>66</v>
      </c>
      <c r="G156" s="10"/>
    </row>
    <row r="157" spans="1:7" s="43" customFormat="1" ht="22.5" customHeight="1" x14ac:dyDescent="0.15">
      <c r="A157" s="175"/>
      <c r="B157" s="19" t="s">
        <v>527</v>
      </c>
      <c r="C157" s="162">
        <v>40</v>
      </c>
      <c r="D157" s="249">
        <v>76</v>
      </c>
      <c r="E157" s="162">
        <v>42</v>
      </c>
      <c r="F157" s="162">
        <v>34</v>
      </c>
      <c r="G157" s="10"/>
    </row>
    <row r="158" spans="1:7" s="43" customFormat="1" ht="22.5" customHeight="1" x14ac:dyDescent="0.15">
      <c r="A158" s="175"/>
      <c r="B158" s="19" t="s">
        <v>528</v>
      </c>
      <c r="C158" s="162">
        <v>61</v>
      </c>
      <c r="D158" s="249">
        <v>97</v>
      </c>
      <c r="E158" s="162">
        <v>41</v>
      </c>
      <c r="F158" s="162">
        <v>56</v>
      </c>
      <c r="G158" s="10"/>
    </row>
    <row r="159" spans="1:7" s="43" customFormat="1" ht="22.5" customHeight="1" x14ac:dyDescent="0.15">
      <c r="A159" s="175"/>
      <c r="B159" s="19" t="s">
        <v>529</v>
      </c>
      <c r="C159" s="162">
        <v>31</v>
      </c>
      <c r="D159" s="249">
        <v>49</v>
      </c>
      <c r="E159" s="162">
        <v>27</v>
      </c>
      <c r="F159" s="162">
        <v>22</v>
      </c>
      <c r="G159" s="10"/>
    </row>
    <row r="160" spans="1:7" s="43" customFormat="1" ht="22.5" customHeight="1" x14ac:dyDescent="0.15">
      <c r="A160" s="175"/>
      <c r="B160" s="19" t="s">
        <v>530</v>
      </c>
      <c r="C160" s="162">
        <v>68</v>
      </c>
      <c r="D160" s="249">
        <v>123</v>
      </c>
      <c r="E160" s="162">
        <v>65</v>
      </c>
      <c r="F160" s="162">
        <v>58</v>
      </c>
      <c r="G160" s="10"/>
    </row>
    <row r="161" spans="1:7" s="43" customFormat="1" ht="22.5" customHeight="1" x14ac:dyDescent="0.15">
      <c r="A161" s="175"/>
      <c r="B161" s="19" t="s">
        <v>531</v>
      </c>
      <c r="C161" s="162">
        <v>50</v>
      </c>
      <c r="D161" s="249">
        <v>80</v>
      </c>
      <c r="E161" s="162">
        <v>49</v>
      </c>
      <c r="F161" s="162">
        <v>31</v>
      </c>
      <c r="G161" s="10"/>
    </row>
    <row r="162" spans="1:7" s="43" customFormat="1" ht="22.5" customHeight="1" x14ac:dyDescent="0.15">
      <c r="A162" s="175"/>
      <c r="B162" s="19" t="s">
        <v>532</v>
      </c>
      <c r="C162" s="162">
        <v>53</v>
      </c>
      <c r="D162" s="249">
        <v>88</v>
      </c>
      <c r="E162" s="162">
        <v>46</v>
      </c>
      <c r="F162" s="162">
        <v>42</v>
      </c>
      <c r="G162" s="10"/>
    </row>
    <row r="163" spans="1:7" s="43" customFormat="1" ht="22.5" customHeight="1" x14ac:dyDescent="0.15">
      <c r="A163" s="175"/>
      <c r="B163" s="19" t="s">
        <v>533</v>
      </c>
      <c r="C163" s="162">
        <v>66</v>
      </c>
      <c r="D163" s="249">
        <v>136</v>
      </c>
      <c r="E163" s="162">
        <v>68</v>
      </c>
      <c r="F163" s="162">
        <v>68</v>
      </c>
      <c r="G163" s="10"/>
    </row>
    <row r="164" spans="1:7" s="43" customFormat="1" ht="22.5" customHeight="1" x14ac:dyDescent="0.15">
      <c r="A164" s="175"/>
      <c r="B164" s="19" t="s">
        <v>534</v>
      </c>
      <c r="C164" s="162">
        <v>42</v>
      </c>
      <c r="D164" s="249">
        <v>64</v>
      </c>
      <c r="E164" s="162">
        <v>35</v>
      </c>
      <c r="F164" s="162">
        <v>29</v>
      </c>
      <c r="G164" s="10"/>
    </row>
    <row r="165" spans="1:7" s="43" customFormat="1" ht="22.5" customHeight="1" x14ac:dyDescent="0.15">
      <c r="A165" s="175"/>
      <c r="B165" s="19" t="s">
        <v>535</v>
      </c>
      <c r="C165" s="162">
        <v>17</v>
      </c>
      <c r="D165" s="249">
        <v>25</v>
      </c>
      <c r="E165" s="162">
        <v>16</v>
      </c>
      <c r="F165" s="162">
        <v>9</v>
      </c>
      <c r="G165" s="10"/>
    </row>
    <row r="166" spans="1:7" s="43" customFormat="1" ht="22.5" customHeight="1" x14ac:dyDescent="0.15">
      <c r="A166" s="175"/>
      <c r="B166" s="19" t="s">
        <v>536</v>
      </c>
      <c r="C166" s="162">
        <v>109</v>
      </c>
      <c r="D166" s="249">
        <v>197</v>
      </c>
      <c r="E166" s="162">
        <v>88</v>
      </c>
      <c r="F166" s="162">
        <v>109</v>
      </c>
      <c r="G166" s="10"/>
    </row>
    <row r="167" spans="1:7" s="43" customFormat="1" ht="22.5" customHeight="1" x14ac:dyDescent="0.15">
      <c r="A167" s="175"/>
      <c r="B167" s="19" t="s">
        <v>537</v>
      </c>
      <c r="C167" s="162">
        <v>39</v>
      </c>
      <c r="D167" s="249">
        <v>67</v>
      </c>
      <c r="E167" s="162">
        <v>35</v>
      </c>
      <c r="F167" s="162">
        <v>32</v>
      </c>
      <c r="G167" s="10"/>
    </row>
    <row r="168" spans="1:7" s="43" customFormat="1" ht="22.5" customHeight="1" x14ac:dyDescent="0.15">
      <c r="A168" s="175"/>
      <c r="B168" s="19" t="s">
        <v>538</v>
      </c>
      <c r="C168" s="162">
        <v>106</v>
      </c>
      <c r="D168" s="249">
        <v>162</v>
      </c>
      <c r="E168" s="162">
        <v>94</v>
      </c>
      <c r="F168" s="162">
        <v>68</v>
      </c>
      <c r="G168" s="10"/>
    </row>
    <row r="169" spans="1:7" s="43" customFormat="1" ht="22.5" customHeight="1" x14ac:dyDescent="0.15">
      <c r="A169" s="175"/>
      <c r="B169" s="19" t="s">
        <v>539</v>
      </c>
      <c r="C169" s="162">
        <v>23</v>
      </c>
      <c r="D169" s="249">
        <v>33</v>
      </c>
      <c r="E169" s="162">
        <v>19</v>
      </c>
      <c r="F169" s="162">
        <v>14</v>
      </c>
      <c r="G169" s="10"/>
    </row>
    <row r="170" spans="1:7" s="43" customFormat="1" ht="22.5" customHeight="1" x14ac:dyDescent="0.15">
      <c r="A170" s="175"/>
      <c r="B170" s="19" t="s">
        <v>540</v>
      </c>
      <c r="C170" s="162">
        <v>61</v>
      </c>
      <c r="D170" s="249">
        <v>110</v>
      </c>
      <c r="E170" s="162">
        <v>57</v>
      </c>
      <c r="F170" s="162">
        <v>53</v>
      </c>
      <c r="G170" s="10"/>
    </row>
    <row r="171" spans="1:7" s="43" customFormat="1" ht="22.5" customHeight="1" x14ac:dyDescent="0.15">
      <c r="A171" s="175"/>
      <c r="B171" s="19" t="s">
        <v>541</v>
      </c>
      <c r="C171" s="162">
        <v>56</v>
      </c>
      <c r="D171" s="249">
        <v>106</v>
      </c>
      <c r="E171" s="162">
        <v>47</v>
      </c>
      <c r="F171" s="162">
        <v>59</v>
      </c>
      <c r="G171" s="10"/>
    </row>
    <row r="172" spans="1:7" s="43" customFormat="1" ht="22.5" customHeight="1" x14ac:dyDescent="0.15">
      <c r="A172" s="175"/>
      <c r="B172" s="19" t="s">
        <v>542</v>
      </c>
      <c r="C172" s="162">
        <v>24</v>
      </c>
      <c r="D172" s="249">
        <v>39</v>
      </c>
      <c r="E172" s="162">
        <v>22</v>
      </c>
      <c r="F172" s="162">
        <v>17</v>
      </c>
      <c r="G172" s="10"/>
    </row>
    <row r="173" spans="1:7" s="43" customFormat="1" ht="22.5" customHeight="1" x14ac:dyDescent="0.15">
      <c r="A173" s="175"/>
      <c r="B173" s="19" t="s">
        <v>543</v>
      </c>
      <c r="C173" s="162">
        <v>24</v>
      </c>
      <c r="D173" s="249">
        <v>37</v>
      </c>
      <c r="E173" s="162">
        <v>20</v>
      </c>
      <c r="F173" s="162">
        <v>17</v>
      </c>
      <c r="G173" s="10"/>
    </row>
    <row r="174" spans="1:7" s="43" customFormat="1" ht="22.5" customHeight="1" x14ac:dyDescent="0.15">
      <c r="A174" s="175"/>
      <c r="B174" s="19" t="s">
        <v>544</v>
      </c>
      <c r="C174" s="162">
        <v>44</v>
      </c>
      <c r="D174" s="249">
        <v>95</v>
      </c>
      <c r="E174" s="162">
        <v>50</v>
      </c>
      <c r="F174" s="162">
        <v>45</v>
      </c>
      <c r="G174" s="10"/>
    </row>
    <row r="175" spans="1:7" s="43" customFormat="1" ht="22.5" customHeight="1" x14ac:dyDescent="0.15">
      <c r="A175" s="175"/>
      <c r="B175" s="19" t="s">
        <v>545</v>
      </c>
      <c r="C175" s="162">
        <v>89</v>
      </c>
      <c r="D175" s="249">
        <v>218</v>
      </c>
      <c r="E175" s="162">
        <v>125</v>
      </c>
      <c r="F175" s="162">
        <v>93</v>
      </c>
      <c r="G175" s="10"/>
    </row>
    <row r="176" spans="1:7" s="43" customFormat="1" ht="22.5" customHeight="1" x14ac:dyDescent="0.15">
      <c r="A176" s="175"/>
      <c r="B176" s="19" t="s">
        <v>546</v>
      </c>
      <c r="C176" s="162">
        <v>142</v>
      </c>
      <c r="D176" s="249">
        <v>282</v>
      </c>
      <c r="E176" s="162">
        <v>157</v>
      </c>
      <c r="F176" s="162">
        <v>125</v>
      </c>
      <c r="G176" s="10"/>
    </row>
    <row r="177" spans="1:7" s="43" customFormat="1" ht="22.5" customHeight="1" x14ac:dyDescent="0.15">
      <c r="A177" s="175"/>
      <c r="B177" s="19" t="s">
        <v>547</v>
      </c>
      <c r="C177" s="162">
        <v>23</v>
      </c>
      <c r="D177" s="249">
        <v>42</v>
      </c>
      <c r="E177" s="162">
        <v>21</v>
      </c>
      <c r="F177" s="162">
        <v>21</v>
      </c>
      <c r="G177" s="10"/>
    </row>
    <row r="178" spans="1:7" s="43" customFormat="1" ht="22.5" customHeight="1" x14ac:dyDescent="0.15">
      <c r="A178" s="175"/>
      <c r="B178" s="21" t="s">
        <v>548</v>
      </c>
      <c r="C178" s="162">
        <v>49</v>
      </c>
      <c r="D178" s="249">
        <v>92</v>
      </c>
      <c r="E178" s="162">
        <v>49</v>
      </c>
      <c r="F178" s="162">
        <v>43</v>
      </c>
      <c r="G178" s="15"/>
    </row>
    <row r="179" spans="1:7" s="43" customFormat="1" ht="24" customHeight="1" thickBot="1" x14ac:dyDescent="0.2">
      <c r="A179" s="176"/>
      <c r="B179" s="19" t="s">
        <v>549</v>
      </c>
      <c r="C179" s="162">
        <v>20</v>
      </c>
      <c r="D179" s="249">
        <v>35</v>
      </c>
      <c r="E179" s="162">
        <v>21</v>
      </c>
      <c r="F179" s="162">
        <v>14</v>
      </c>
      <c r="G179" s="10"/>
    </row>
    <row r="180" spans="1:7" s="43" customFormat="1" ht="24" customHeight="1" thickTop="1" thickBot="1" x14ac:dyDescent="0.2">
      <c r="A180" s="176"/>
      <c r="B180" s="19" t="s">
        <v>550</v>
      </c>
      <c r="C180" s="162">
        <v>34</v>
      </c>
      <c r="D180" s="249">
        <v>75</v>
      </c>
      <c r="E180" s="162">
        <v>36</v>
      </c>
      <c r="F180" s="162">
        <v>39</v>
      </c>
      <c r="G180" s="10"/>
    </row>
    <row r="181" spans="1:7" s="43" customFormat="1" ht="24" customHeight="1" thickTop="1" thickBot="1" x14ac:dyDescent="0.2">
      <c r="A181" s="176"/>
      <c r="B181" s="19" t="s">
        <v>551</v>
      </c>
      <c r="C181" s="162">
        <v>39</v>
      </c>
      <c r="D181" s="249">
        <v>59</v>
      </c>
      <c r="E181" s="162">
        <v>34</v>
      </c>
      <c r="F181" s="162">
        <v>25</v>
      </c>
      <c r="G181" s="10"/>
    </row>
    <row r="182" spans="1:7" s="43" customFormat="1" ht="24" customHeight="1" thickTop="1" thickBot="1" x14ac:dyDescent="0.2">
      <c r="A182" s="177"/>
      <c r="B182" s="19" t="s">
        <v>552</v>
      </c>
      <c r="C182" s="162">
        <v>39</v>
      </c>
      <c r="D182" s="249">
        <v>58</v>
      </c>
      <c r="E182" s="162">
        <v>33</v>
      </c>
      <c r="F182" s="162">
        <v>25</v>
      </c>
      <c r="G182" s="10"/>
    </row>
    <row r="183" spans="1:7" s="43" customFormat="1" ht="24" customHeight="1" thickTop="1" thickBot="1" x14ac:dyDescent="0.2">
      <c r="A183" s="177"/>
      <c r="B183" s="19" t="s">
        <v>553</v>
      </c>
      <c r="C183" s="162">
        <v>56</v>
      </c>
      <c r="D183" s="249">
        <v>101</v>
      </c>
      <c r="E183" s="162">
        <v>56</v>
      </c>
      <c r="F183" s="162">
        <v>45</v>
      </c>
      <c r="G183" s="10"/>
    </row>
    <row r="184" spans="1:7" s="43" customFormat="1" ht="24" customHeight="1" thickTop="1" thickBot="1" x14ac:dyDescent="0.2">
      <c r="A184" s="178"/>
      <c r="B184" s="19" t="s">
        <v>554</v>
      </c>
      <c r="C184" s="126">
        <v>36</v>
      </c>
      <c r="D184" s="249">
        <v>57</v>
      </c>
      <c r="E184" s="126">
        <v>34</v>
      </c>
      <c r="F184" s="126">
        <v>23</v>
      </c>
      <c r="G184" s="15"/>
    </row>
    <row r="185" spans="1:7" s="43" customFormat="1" ht="24" customHeight="1" thickTop="1" x14ac:dyDescent="0.15">
      <c r="A185" s="174" t="s">
        <v>280</v>
      </c>
      <c r="B185" s="7" t="s">
        <v>0</v>
      </c>
      <c r="C185" s="124">
        <f>SUM(C186:C204)</f>
        <v>1206</v>
      </c>
      <c r="D185" s="125">
        <f>SUM(D186:D204)</f>
        <v>1982</v>
      </c>
      <c r="E185" s="124">
        <f>SUM(E186:E204)</f>
        <v>1108</v>
      </c>
      <c r="F185" s="124">
        <f>SUM(F186:F204)</f>
        <v>874</v>
      </c>
      <c r="G185" s="8"/>
    </row>
    <row r="186" spans="1:7" s="43" customFormat="1" ht="24" customHeight="1" x14ac:dyDescent="0.15">
      <c r="A186" s="175"/>
      <c r="B186" s="19" t="s">
        <v>555</v>
      </c>
      <c r="C186" s="227">
        <v>167</v>
      </c>
      <c r="D186" s="249">
        <v>285</v>
      </c>
      <c r="E186" s="226">
        <v>155</v>
      </c>
      <c r="F186" s="226">
        <v>130</v>
      </c>
      <c r="G186" s="10"/>
    </row>
    <row r="187" spans="1:7" s="43" customFormat="1" ht="24" customHeight="1" x14ac:dyDescent="0.15">
      <c r="A187" s="175"/>
      <c r="B187" s="19" t="s">
        <v>556</v>
      </c>
      <c r="C187" s="227">
        <v>56</v>
      </c>
      <c r="D187" s="249">
        <v>95</v>
      </c>
      <c r="E187" s="226">
        <v>52</v>
      </c>
      <c r="F187" s="226">
        <v>43</v>
      </c>
      <c r="G187" s="10"/>
    </row>
    <row r="188" spans="1:7" s="43" customFormat="1" ht="24" customHeight="1" x14ac:dyDescent="0.15">
      <c r="A188" s="175"/>
      <c r="B188" s="19" t="s">
        <v>557</v>
      </c>
      <c r="C188" s="227">
        <v>143</v>
      </c>
      <c r="D188" s="249">
        <v>222</v>
      </c>
      <c r="E188" s="226">
        <v>137</v>
      </c>
      <c r="F188" s="226">
        <v>85</v>
      </c>
      <c r="G188" s="10"/>
    </row>
    <row r="189" spans="1:7" s="43" customFormat="1" ht="24" customHeight="1" x14ac:dyDescent="0.15">
      <c r="A189" s="175"/>
      <c r="B189" s="19" t="s">
        <v>558</v>
      </c>
      <c r="C189" s="227">
        <v>36</v>
      </c>
      <c r="D189" s="249">
        <v>51</v>
      </c>
      <c r="E189" s="226">
        <v>28</v>
      </c>
      <c r="F189" s="226">
        <v>23</v>
      </c>
      <c r="G189" s="10"/>
    </row>
    <row r="190" spans="1:7" s="43" customFormat="1" ht="24" customHeight="1" x14ac:dyDescent="0.15">
      <c r="A190" s="175"/>
      <c r="B190" s="19" t="s">
        <v>559</v>
      </c>
      <c r="C190" s="227">
        <v>41</v>
      </c>
      <c r="D190" s="249">
        <v>58</v>
      </c>
      <c r="E190" s="226">
        <v>34</v>
      </c>
      <c r="F190" s="226">
        <v>24</v>
      </c>
      <c r="G190" s="10"/>
    </row>
    <row r="191" spans="1:7" s="43" customFormat="1" ht="24" customHeight="1" x14ac:dyDescent="0.15">
      <c r="A191" s="175"/>
      <c r="B191" s="19" t="s">
        <v>560</v>
      </c>
      <c r="C191" s="227">
        <v>77</v>
      </c>
      <c r="D191" s="249">
        <v>130</v>
      </c>
      <c r="E191" s="226">
        <v>72</v>
      </c>
      <c r="F191" s="226">
        <v>58</v>
      </c>
      <c r="G191" s="10"/>
    </row>
    <row r="192" spans="1:7" s="43" customFormat="1" ht="24" customHeight="1" x14ac:dyDescent="0.15">
      <c r="A192" s="175"/>
      <c r="B192" s="19" t="s">
        <v>561</v>
      </c>
      <c r="C192" s="227">
        <v>33</v>
      </c>
      <c r="D192" s="249">
        <v>56</v>
      </c>
      <c r="E192" s="226">
        <v>36</v>
      </c>
      <c r="F192" s="226">
        <v>20</v>
      </c>
      <c r="G192" s="10"/>
    </row>
    <row r="193" spans="1:7" s="43" customFormat="1" ht="24" customHeight="1" x14ac:dyDescent="0.15">
      <c r="A193" s="175"/>
      <c r="B193" s="19" t="s">
        <v>562</v>
      </c>
      <c r="C193" s="227">
        <v>20</v>
      </c>
      <c r="D193" s="249">
        <v>30</v>
      </c>
      <c r="E193" s="226">
        <v>17</v>
      </c>
      <c r="F193" s="226">
        <v>13</v>
      </c>
      <c r="G193" s="10"/>
    </row>
    <row r="194" spans="1:7" s="43" customFormat="1" ht="24" customHeight="1" x14ac:dyDescent="0.15">
      <c r="A194" s="175"/>
      <c r="B194" s="19" t="s">
        <v>563</v>
      </c>
      <c r="C194" s="227">
        <v>59</v>
      </c>
      <c r="D194" s="249">
        <v>94</v>
      </c>
      <c r="E194" s="226">
        <v>55</v>
      </c>
      <c r="F194" s="226">
        <v>39</v>
      </c>
      <c r="G194" s="10"/>
    </row>
    <row r="195" spans="1:7" s="43" customFormat="1" ht="24" customHeight="1" x14ac:dyDescent="0.15">
      <c r="A195" s="175"/>
      <c r="B195" s="19" t="s">
        <v>564</v>
      </c>
      <c r="C195" s="227">
        <v>57</v>
      </c>
      <c r="D195" s="249">
        <v>95</v>
      </c>
      <c r="E195" s="226">
        <v>48</v>
      </c>
      <c r="F195" s="226">
        <v>47</v>
      </c>
      <c r="G195" s="10"/>
    </row>
    <row r="196" spans="1:7" s="43" customFormat="1" ht="24" customHeight="1" x14ac:dyDescent="0.15">
      <c r="A196" s="175"/>
      <c r="B196" s="19" t="s">
        <v>565</v>
      </c>
      <c r="C196" s="227">
        <v>23</v>
      </c>
      <c r="D196" s="249">
        <v>35</v>
      </c>
      <c r="E196" s="226">
        <v>19</v>
      </c>
      <c r="F196" s="226">
        <v>16</v>
      </c>
      <c r="G196" s="10"/>
    </row>
    <row r="197" spans="1:7" s="43" customFormat="1" ht="24" customHeight="1" x14ac:dyDescent="0.15">
      <c r="A197" s="175"/>
      <c r="B197" s="19" t="s">
        <v>566</v>
      </c>
      <c r="C197" s="227">
        <v>29</v>
      </c>
      <c r="D197" s="249">
        <v>54</v>
      </c>
      <c r="E197" s="226">
        <v>32</v>
      </c>
      <c r="F197" s="226">
        <v>22</v>
      </c>
      <c r="G197" s="10"/>
    </row>
    <row r="198" spans="1:7" s="43" customFormat="1" ht="24" customHeight="1" x14ac:dyDescent="0.15">
      <c r="A198" s="175"/>
      <c r="B198" s="19" t="s">
        <v>567</v>
      </c>
      <c r="C198" s="227">
        <v>132</v>
      </c>
      <c r="D198" s="249">
        <v>234</v>
      </c>
      <c r="E198" s="226">
        <v>133</v>
      </c>
      <c r="F198" s="226">
        <v>101</v>
      </c>
      <c r="G198" s="10"/>
    </row>
    <row r="199" spans="1:7" s="43" customFormat="1" ht="24" customHeight="1" x14ac:dyDescent="0.15">
      <c r="A199" s="175"/>
      <c r="B199" s="19" t="s">
        <v>568</v>
      </c>
      <c r="C199" s="226">
        <v>69</v>
      </c>
      <c r="D199" s="249">
        <v>112</v>
      </c>
      <c r="E199" s="226">
        <v>62</v>
      </c>
      <c r="F199" s="226">
        <v>50</v>
      </c>
      <c r="G199" s="10"/>
    </row>
    <row r="200" spans="1:7" s="43" customFormat="1" ht="24" customHeight="1" x14ac:dyDescent="0.15">
      <c r="A200" s="175"/>
      <c r="B200" s="19" t="s">
        <v>569</v>
      </c>
      <c r="C200" s="226">
        <v>68</v>
      </c>
      <c r="D200" s="249">
        <v>109</v>
      </c>
      <c r="E200" s="226">
        <v>63</v>
      </c>
      <c r="F200" s="226">
        <v>46</v>
      </c>
      <c r="G200" s="10"/>
    </row>
    <row r="201" spans="1:7" s="43" customFormat="1" ht="24" customHeight="1" x14ac:dyDescent="0.15">
      <c r="A201" s="175"/>
      <c r="B201" s="19" t="s">
        <v>570</v>
      </c>
      <c r="C201" s="226">
        <v>46</v>
      </c>
      <c r="D201" s="249">
        <v>73</v>
      </c>
      <c r="E201" s="226">
        <v>35</v>
      </c>
      <c r="F201" s="226">
        <v>38</v>
      </c>
      <c r="G201" s="10"/>
    </row>
    <row r="202" spans="1:7" s="43" customFormat="1" ht="24" customHeight="1" x14ac:dyDescent="0.15">
      <c r="A202" s="175"/>
      <c r="B202" s="19" t="s">
        <v>571</v>
      </c>
      <c r="C202" s="226">
        <v>72</v>
      </c>
      <c r="D202" s="249">
        <v>125</v>
      </c>
      <c r="E202" s="226">
        <v>67</v>
      </c>
      <c r="F202" s="226">
        <v>58</v>
      </c>
      <c r="G202" s="10"/>
    </row>
    <row r="203" spans="1:7" s="43" customFormat="1" ht="24" customHeight="1" x14ac:dyDescent="0.15">
      <c r="A203" s="175"/>
      <c r="B203" s="21" t="s">
        <v>572</v>
      </c>
      <c r="C203" s="235">
        <v>49</v>
      </c>
      <c r="D203" s="249">
        <v>80</v>
      </c>
      <c r="E203" s="235">
        <v>39</v>
      </c>
      <c r="F203" s="235">
        <v>41</v>
      </c>
      <c r="G203" s="15"/>
    </row>
    <row r="204" spans="1:7" s="43" customFormat="1" ht="24" customHeight="1" thickBot="1" x14ac:dyDescent="0.2">
      <c r="A204" s="179"/>
      <c r="B204" s="21" t="s">
        <v>573</v>
      </c>
      <c r="C204" s="235">
        <v>29</v>
      </c>
      <c r="D204" s="249">
        <v>44</v>
      </c>
      <c r="E204" s="235">
        <v>24</v>
      </c>
      <c r="F204" s="235">
        <v>20</v>
      </c>
      <c r="G204" s="25"/>
    </row>
    <row r="205" spans="1:7" s="43" customFormat="1" ht="22.5" customHeight="1" thickTop="1" x14ac:dyDescent="0.15">
      <c r="A205" s="180" t="s">
        <v>281</v>
      </c>
      <c r="B205" s="7" t="s">
        <v>0</v>
      </c>
      <c r="C205" s="124">
        <f>SUM(C206:C245)</f>
        <v>3638</v>
      </c>
      <c r="D205" s="125">
        <f>SUM(D206:D245)</f>
        <v>5837</v>
      </c>
      <c r="E205" s="124">
        <f>SUM(E206:E245)</f>
        <v>3221</v>
      </c>
      <c r="F205" s="124">
        <f>SUM(F206:F245)</f>
        <v>2616</v>
      </c>
      <c r="G205" s="8"/>
    </row>
    <row r="206" spans="1:7" s="43" customFormat="1" ht="22.5" customHeight="1" x14ac:dyDescent="0.15">
      <c r="A206" s="181"/>
      <c r="B206" s="20" t="s">
        <v>574</v>
      </c>
      <c r="C206" s="162">
        <v>32</v>
      </c>
      <c r="D206" s="127">
        <v>64</v>
      </c>
      <c r="E206" s="162">
        <v>37</v>
      </c>
      <c r="F206" s="162">
        <v>27</v>
      </c>
      <c r="G206" s="12"/>
    </row>
    <row r="207" spans="1:7" s="43" customFormat="1" ht="22.5" customHeight="1" x14ac:dyDescent="0.15">
      <c r="A207" s="181"/>
      <c r="B207" s="19" t="s">
        <v>575</v>
      </c>
      <c r="C207" s="162">
        <v>36</v>
      </c>
      <c r="D207" s="127">
        <v>63</v>
      </c>
      <c r="E207" s="162">
        <v>32</v>
      </c>
      <c r="F207" s="162">
        <v>31</v>
      </c>
      <c r="G207" s="10"/>
    </row>
    <row r="208" spans="1:7" s="43" customFormat="1" ht="22.5" customHeight="1" x14ac:dyDescent="0.15">
      <c r="A208" s="181"/>
      <c r="B208" s="19" t="s">
        <v>576</v>
      </c>
      <c r="C208" s="162">
        <v>50</v>
      </c>
      <c r="D208" s="127">
        <v>85</v>
      </c>
      <c r="E208" s="162">
        <v>45</v>
      </c>
      <c r="F208" s="162">
        <v>40</v>
      </c>
      <c r="G208" s="10"/>
    </row>
    <row r="209" spans="1:7" s="43" customFormat="1" ht="21" customHeight="1" x14ac:dyDescent="0.15">
      <c r="A209" s="181"/>
      <c r="B209" s="19" t="s">
        <v>577</v>
      </c>
      <c r="C209" s="162">
        <v>666</v>
      </c>
      <c r="D209" s="127">
        <v>879</v>
      </c>
      <c r="E209" s="162">
        <v>577</v>
      </c>
      <c r="F209" s="162">
        <v>302</v>
      </c>
      <c r="G209" s="10"/>
    </row>
    <row r="210" spans="1:7" s="43" customFormat="1" ht="21" customHeight="1" x14ac:dyDescent="0.15">
      <c r="A210" s="181"/>
      <c r="B210" s="19" t="s">
        <v>578</v>
      </c>
      <c r="C210" s="162">
        <v>433</v>
      </c>
      <c r="D210" s="127">
        <v>573</v>
      </c>
      <c r="E210" s="162">
        <v>307</v>
      </c>
      <c r="F210" s="162">
        <v>266</v>
      </c>
      <c r="G210" s="10"/>
    </row>
    <row r="211" spans="1:7" s="43" customFormat="1" ht="21" customHeight="1" x14ac:dyDescent="0.15">
      <c r="A211" s="181"/>
      <c r="B211" s="19" t="s">
        <v>579</v>
      </c>
      <c r="C211" s="162">
        <v>348</v>
      </c>
      <c r="D211" s="127">
        <v>487</v>
      </c>
      <c r="E211" s="162">
        <v>318</v>
      </c>
      <c r="F211" s="162">
        <v>169</v>
      </c>
      <c r="G211" s="10"/>
    </row>
    <row r="212" spans="1:7" s="43" customFormat="1" ht="21" customHeight="1" x14ac:dyDescent="0.15">
      <c r="A212" s="181"/>
      <c r="B212" s="19" t="s">
        <v>580</v>
      </c>
      <c r="C212" s="162">
        <v>136</v>
      </c>
      <c r="D212" s="127">
        <v>211</v>
      </c>
      <c r="E212" s="162">
        <v>121</v>
      </c>
      <c r="F212" s="162">
        <v>90</v>
      </c>
      <c r="G212" s="10"/>
    </row>
    <row r="213" spans="1:7" s="43" customFormat="1" ht="21" customHeight="1" x14ac:dyDescent="0.15">
      <c r="A213" s="181"/>
      <c r="B213" s="19" t="s">
        <v>581</v>
      </c>
      <c r="C213" s="162">
        <v>66</v>
      </c>
      <c r="D213" s="127">
        <v>128</v>
      </c>
      <c r="E213" s="162">
        <v>63</v>
      </c>
      <c r="F213" s="162">
        <v>65</v>
      </c>
      <c r="G213" s="10"/>
    </row>
    <row r="214" spans="1:7" s="43" customFormat="1" ht="21" customHeight="1" x14ac:dyDescent="0.15">
      <c r="A214" s="181"/>
      <c r="B214" s="19" t="s">
        <v>582</v>
      </c>
      <c r="C214" s="162">
        <v>56</v>
      </c>
      <c r="D214" s="127">
        <v>122</v>
      </c>
      <c r="E214" s="162">
        <v>65</v>
      </c>
      <c r="F214" s="162">
        <v>57</v>
      </c>
      <c r="G214" s="10"/>
    </row>
    <row r="215" spans="1:7" s="43" customFormat="1" ht="21" customHeight="1" x14ac:dyDescent="0.15">
      <c r="A215" s="181"/>
      <c r="B215" s="19" t="s">
        <v>583</v>
      </c>
      <c r="C215" s="162">
        <v>130</v>
      </c>
      <c r="D215" s="127">
        <v>227</v>
      </c>
      <c r="E215" s="162">
        <v>117</v>
      </c>
      <c r="F215" s="162">
        <v>110</v>
      </c>
      <c r="G215" s="12"/>
    </row>
    <row r="216" spans="1:7" s="43" customFormat="1" ht="21" customHeight="1" x14ac:dyDescent="0.15">
      <c r="A216" s="181"/>
      <c r="B216" s="19" t="s">
        <v>584</v>
      </c>
      <c r="C216" s="162">
        <v>98</v>
      </c>
      <c r="D216" s="127">
        <v>164</v>
      </c>
      <c r="E216" s="162">
        <v>88</v>
      </c>
      <c r="F216" s="162">
        <v>76</v>
      </c>
      <c r="G216" s="10"/>
    </row>
    <row r="217" spans="1:7" s="43" customFormat="1" ht="21" customHeight="1" x14ac:dyDescent="0.15">
      <c r="A217" s="181"/>
      <c r="B217" s="19" t="s">
        <v>585</v>
      </c>
      <c r="C217" s="162">
        <v>40</v>
      </c>
      <c r="D217" s="127">
        <v>72</v>
      </c>
      <c r="E217" s="162">
        <v>36</v>
      </c>
      <c r="F217" s="162">
        <v>36</v>
      </c>
      <c r="G217" s="10"/>
    </row>
    <row r="218" spans="1:7" s="43" customFormat="1" ht="21" customHeight="1" x14ac:dyDescent="0.15">
      <c r="A218" s="181"/>
      <c r="B218" s="19" t="s">
        <v>586</v>
      </c>
      <c r="C218" s="162">
        <v>113</v>
      </c>
      <c r="D218" s="127">
        <v>220</v>
      </c>
      <c r="E218" s="162">
        <v>102</v>
      </c>
      <c r="F218" s="162">
        <v>118</v>
      </c>
      <c r="G218" s="10"/>
    </row>
    <row r="219" spans="1:7" s="43" customFormat="1" ht="21" customHeight="1" x14ac:dyDescent="0.15">
      <c r="A219" s="181"/>
      <c r="B219" s="19" t="s">
        <v>587</v>
      </c>
      <c r="C219" s="162">
        <v>30</v>
      </c>
      <c r="D219" s="127">
        <v>49</v>
      </c>
      <c r="E219" s="162">
        <v>27</v>
      </c>
      <c r="F219" s="162">
        <v>22</v>
      </c>
      <c r="G219" s="10"/>
    </row>
    <row r="220" spans="1:7" s="43" customFormat="1" ht="21" customHeight="1" x14ac:dyDescent="0.15">
      <c r="A220" s="181"/>
      <c r="B220" s="19" t="s">
        <v>588</v>
      </c>
      <c r="C220" s="162">
        <v>135</v>
      </c>
      <c r="D220" s="127">
        <v>314</v>
      </c>
      <c r="E220" s="162">
        <v>156</v>
      </c>
      <c r="F220" s="162">
        <v>158</v>
      </c>
      <c r="G220" s="10"/>
    </row>
    <row r="221" spans="1:7" s="43" customFormat="1" ht="21" customHeight="1" x14ac:dyDescent="0.15">
      <c r="A221" s="181"/>
      <c r="B221" s="19" t="s">
        <v>589</v>
      </c>
      <c r="C221" s="162">
        <v>40</v>
      </c>
      <c r="D221" s="127">
        <v>73</v>
      </c>
      <c r="E221" s="162">
        <v>35</v>
      </c>
      <c r="F221" s="162">
        <v>38</v>
      </c>
      <c r="G221" s="10"/>
    </row>
    <row r="222" spans="1:7" s="43" customFormat="1" ht="21" customHeight="1" x14ac:dyDescent="0.15">
      <c r="A222" s="181"/>
      <c r="B222" s="21" t="s">
        <v>590</v>
      </c>
      <c r="C222" s="162">
        <v>58</v>
      </c>
      <c r="D222" s="127">
        <v>123</v>
      </c>
      <c r="E222" s="162">
        <v>59</v>
      </c>
      <c r="F222" s="162">
        <v>64</v>
      </c>
      <c r="G222" s="10"/>
    </row>
    <row r="223" spans="1:7" s="43" customFormat="1" ht="21" customHeight="1" x14ac:dyDescent="0.15">
      <c r="A223" s="181"/>
      <c r="B223" s="21" t="s">
        <v>591</v>
      </c>
      <c r="C223" s="162">
        <v>109</v>
      </c>
      <c r="D223" s="127">
        <v>187</v>
      </c>
      <c r="E223" s="162">
        <v>105</v>
      </c>
      <c r="F223" s="162">
        <v>82</v>
      </c>
      <c r="G223" s="10"/>
    </row>
    <row r="224" spans="1:7" s="43" customFormat="1" ht="21" customHeight="1" x14ac:dyDescent="0.15">
      <c r="A224" s="181"/>
      <c r="B224" s="21" t="s">
        <v>592</v>
      </c>
      <c r="C224" s="162">
        <v>56</v>
      </c>
      <c r="D224" s="127">
        <v>91</v>
      </c>
      <c r="E224" s="162">
        <v>47</v>
      </c>
      <c r="F224" s="162">
        <v>44</v>
      </c>
      <c r="G224" s="10"/>
    </row>
    <row r="225" spans="1:7" s="43" customFormat="1" ht="21" customHeight="1" x14ac:dyDescent="0.15">
      <c r="A225" s="181"/>
      <c r="B225" s="19" t="s">
        <v>593</v>
      </c>
      <c r="C225" s="162">
        <v>189</v>
      </c>
      <c r="D225" s="127">
        <v>274</v>
      </c>
      <c r="E225" s="162">
        <v>160</v>
      </c>
      <c r="F225" s="162">
        <v>114</v>
      </c>
      <c r="G225" s="10"/>
    </row>
    <row r="226" spans="1:7" s="43" customFormat="1" ht="21" customHeight="1" x14ac:dyDescent="0.15">
      <c r="A226" s="181"/>
      <c r="B226" s="20" t="s">
        <v>594</v>
      </c>
      <c r="C226" s="162">
        <v>97</v>
      </c>
      <c r="D226" s="127">
        <v>175</v>
      </c>
      <c r="E226" s="162">
        <v>93</v>
      </c>
      <c r="F226" s="162">
        <v>82</v>
      </c>
      <c r="G226" s="10"/>
    </row>
    <row r="227" spans="1:7" s="43" customFormat="1" ht="21" customHeight="1" x14ac:dyDescent="0.15">
      <c r="A227" s="181"/>
      <c r="B227" s="19" t="s">
        <v>595</v>
      </c>
      <c r="C227" s="162">
        <v>36</v>
      </c>
      <c r="D227" s="127">
        <v>55</v>
      </c>
      <c r="E227" s="162">
        <v>31</v>
      </c>
      <c r="F227" s="162">
        <v>24</v>
      </c>
      <c r="G227" s="10"/>
    </row>
    <row r="228" spans="1:7" s="43" customFormat="1" ht="21" customHeight="1" x14ac:dyDescent="0.15">
      <c r="A228" s="181"/>
      <c r="B228" s="19" t="s">
        <v>596</v>
      </c>
      <c r="C228" s="162">
        <v>38</v>
      </c>
      <c r="D228" s="127">
        <v>71</v>
      </c>
      <c r="E228" s="162">
        <v>42</v>
      </c>
      <c r="F228" s="162">
        <v>29</v>
      </c>
      <c r="G228" s="10"/>
    </row>
    <row r="229" spans="1:7" s="43" customFormat="1" ht="21" customHeight="1" x14ac:dyDescent="0.15">
      <c r="A229" s="181"/>
      <c r="B229" s="19" t="s">
        <v>597</v>
      </c>
      <c r="C229" s="162">
        <v>23</v>
      </c>
      <c r="D229" s="127">
        <v>44</v>
      </c>
      <c r="E229" s="162">
        <v>21</v>
      </c>
      <c r="F229" s="162">
        <v>23</v>
      </c>
      <c r="G229" s="10"/>
    </row>
    <row r="230" spans="1:7" s="43" customFormat="1" ht="21" customHeight="1" x14ac:dyDescent="0.15">
      <c r="A230" s="181"/>
      <c r="B230" s="19" t="s">
        <v>598</v>
      </c>
      <c r="C230" s="162">
        <v>58</v>
      </c>
      <c r="D230" s="127">
        <v>114</v>
      </c>
      <c r="E230" s="162">
        <v>60</v>
      </c>
      <c r="F230" s="162">
        <v>54</v>
      </c>
      <c r="G230" s="10"/>
    </row>
    <row r="231" spans="1:7" s="43" customFormat="1" ht="21" customHeight="1" x14ac:dyDescent="0.15">
      <c r="A231" s="181"/>
      <c r="B231" s="19" t="s">
        <v>599</v>
      </c>
      <c r="C231" s="162">
        <v>38</v>
      </c>
      <c r="D231" s="127">
        <v>60</v>
      </c>
      <c r="E231" s="162">
        <v>30</v>
      </c>
      <c r="F231" s="162">
        <v>30</v>
      </c>
      <c r="G231" s="10"/>
    </row>
    <row r="232" spans="1:7" s="43" customFormat="1" ht="21" customHeight="1" x14ac:dyDescent="0.15">
      <c r="A232" s="181"/>
      <c r="B232" s="19" t="s">
        <v>600</v>
      </c>
      <c r="C232" s="162">
        <v>33</v>
      </c>
      <c r="D232" s="127">
        <v>58</v>
      </c>
      <c r="E232" s="162">
        <v>26</v>
      </c>
      <c r="F232" s="162">
        <v>32</v>
      </c>
      <c r="G232" s="10"/>
    </row>
    <row r="233" spans="1:7" s="43" customFormat="1" ht="22.5" customHeight="1" x14ac:dyDescent="0.15">
      <c r="A233" s="182"/>
      <c r="B233" s="19" t="s">
        <v>601</v>
      </c>
      <c r="C233" s="162">
        <v>32</v>
      </c>
      <c r="D233" s="127">
        <v>57</v>
      </c>
      <c r="E233" s="162">
        <v>30</v>
      </c>
      <c r="F233" s="162">
        <v>27</v>
      </c>
      <c r="G233" s="12"/>
    </row>
    <row r="234" spans="1:7" s="43" customFormat="1" ht="22.5" customHeight="1" x14ac:dyDescent="0.15">
      <c r="A234" s="182"/>
      <c r="B234" s="19" t="s">
        <v>602</v>
      </c>
      <c r="C234" s="162">
        <v>50</v>
      </c>
      <c r="D234" s="127">
        <v>80</v>
      </c>
      <c r="E234" s="162">
        <v>34</v>
      </c>
      <c r="F234" s="162">
        <v>46</v>
      </c>
      <c r="G234" s="10"/>
    </row>
    <row r="235" spans="1:7" s="43" customFormat="1" ht="22.5" customHeight="1" x14ac:dyDescent="0.15">
      <c r="A235" s="182"/>
      <c r="B235" s="19" t="s">
        <v>603</v>
      </c>
      <c r="C235" s="162">
        <v>39</v>
      </c>
      <c r="D235" s="127">
        <v>62</v>
      </c>
      <c r="E235" s="162">
        <v>33</v>
      </c>
      <c r="F235" s="162">
        <v>29</v>
      </c>
      <c r="G235" s="10"/>
    </row>
    <row r="236" spans="1:7" s="43" customFormat="1" ht="22.5" customHeight="1" x14ac:dyDescent="0.15">
      <c r="A236" s="182"/>
      <c r="B236" s="20" t="s">
        <v>604</v>
      </c>
      <c r="C236" s="162">
        <v>22</v>
      </c>
      <c r="D236" s="127">
        <v>34</v>
      </c>
      <c r="E236" s="162">
        <v>16</v>
      </c>
      <c r="F236" s="162">
        <v>18</v>
      </c>
      <c r="G236" s="10"/>
    </row>
    <row r="237" spans="1:7" s="43" customFormat="1" ht="22.5" customHeight="1" x14ac:dyDescent="0.15">
      <c r="A237" s="182"/>
      <c r="B237" s="19" t="s">
        <v>605</v>
      </c>
      <c r="C237" s="162">
        <v>69</v>
      </c>
      <c r="D237" s="127">
        <v>124</v>
      </c>
      <c r="E237" s="162">
        <v>57</v>
      </c>
      <c r="F237" s="162">
        <v>67</v>
      </c>
      <c r="G237" s="15"/>
    </row>
    <row r="238" spans="1:7" s="43" customFormat="1" ht="22.5" customHeight="1" x14ac:dyDescent="0.15">
      <c r="A238" s="182"/>
      <c r="B238" s="19" t="s">
        <v>606</v>
      </c>
      <c r="C238" s="162">
        <v>38</v>
      </c>
      <c r="D238" s="127">
        <v>68</v>
      </c>
      <c r="E238" s="162">
        <v>32</v>
      </c>
      <c r="F238" s="162">
        <v>36</v>
      </c>
      <c r="G238" s="10"/>
    </row>
    <row r="239" spans="1:7" s="43" customFormat="1" ht="22.5" customHeight="1" x14ac:dyDescent="0.15">
      <c r="A239" s="182"/>
      <c r="B239" s="19" t="s">
        <v>607</v>
      </c>
      <c r="C239" s="162">
        <v>50</v>
      </c>
      <c r="D239" s="127">
        <v>79</v>
      </c>
      <c r="E239" s="162">
        <v>37</v>
      </c>
      <c r="F239" s="162">
        <v>42</v>
      </c>
      <c r="G239" s="15"/>
    </row>
    <row r="240" spans="1:7" s="43" customFormat="1" ht="22.5" customHeight="1" x14ac:dyDescent="0.15">
      <c r="A240" s="182"/>
      <c r="B240" s="19" t="s">
        <v>608</v>
      </c>
      <c r="C240" s="162">
        <v>33</v>
      </c>
      <c r="D240" s="127">
        <v>53</v>
      </c>
      <c r="E240" s="162">
        <v>25</v>
      </c>
      <c r="F240" s="162">
        <v>28</v>
      </c>
      <c r="G240" s="15"/>
    </row>
    <row r="241" spans="1:7" s="43" customFormat="1" ht="22.5" customHeight="1" x14ac:dyDescent="0.15">
      <c r="A241" s="182"/>
      <c r="B241" s="21" t="s">
        <v>609</v>
      </c>
      <c r="C241" s="162">
        <v>30</v>
      </c>
      <c r="D241" s="127">
        <v>61</v>
      </c>
      <c r="E241" s="162">
        <v>29</v>
      </c>
      <c r="F241" s="162">
        <v>32</v>
      </c>
      <c r="G241" s="15"/>
    </row>
    <row r="242" spans="1:7" s="43" customFormat="1" ht="22.5" customHeight="1" x14ac:dyDescent="0.15">
      <c r="A242" s="182"/>
      <c r="B242" s="19" t="s">
        <v>610</v>
      </c>
      <c r="C242" s="162">
        <v>43</v>
      </c>
      <c r="D242" s="127">
        <v>76</v>
      </c>
      <c r="E242" s="162">
        <v>42</v>
      </c>
      <c r="F242" s="162">
        <v>34</v>
      </c>
      <c r="G242" s="15"/>
    </row>
    <row r="243" spans="1:7" s="43" customFormat="1" ht="22.5" customHeight="1" x14ac:dyDescent="0.15">
      <c r="A243" s="182"/>
      <c r="B243" s="20" t="s">
        <v>611</v>
      </c>
      <c r="C243" s="162">
        <v>19</v>
      </c>
      <c r="D243" s="127">
        <v>31</v>
      </c>
      <c r="E243" s="162">
        <v>16</v>
      </c>
      <c r="F243" s="162">
        <v>15</v>
      </c>
      <c r="G243" s="15"/>
    </row>
    <row r="244" spans="1:7" s="43" customFormat="1" ht="22.5" customHeight="1" x14ac:dyDescent="0.15">
      <c r="A244" s="182"/>
      <c r="B244" s="19" t="s">
        <v>612</v>
      </c>
      <c r="C244" s="162">
        <v>50</v>
      </c>
      <c r="D244" s="127">
        <v>90</v>
      </c>
      <c r="E244" s="162">
        <v>49</v>
      </c>
      <c r="F244" s="162">
        <v>41</v>
      </c>
      <c r="G244" s="15"/>
    </row>
    <row r="245" spans="1:7" s="43" customFormat="1" ht="22.5" customHeight="1" thickBot="1" x14ac:dyDescent="0.2">
      <c r="A245" s="183"/>
      <c r="B245" s="19" t="s">
        <v>613</v>
      </c>
      <c r="C245" s="162">
        <v>19</v>
      </c>
      <c r="D245" s="127">
        <v>39</v>
      </c>
      <c r="E245" s="162">
        <v>21</v>
      </c>
      <c r="F245" s="162">
        <v>18</v>
      </c>
      <c r="G245" s="25"/>
    </row>
    <row r="246" spans="1:7" s="43" customFormat="1" ht="22.5" customHeight="1" thickTop="1" x14ac:dyDescent="0.15">
      <c r="A246" s="180" t="s">
        <v>282</v>
      </c>
      <c r="B246" s="7" t="s">
        <v>0</v>
      </c>
      <c r="C246" s="124">
        <f>SUM(C247:C270)</f>
        <v>1129</v>
      </c>
      <c r="D246" s="130">
        <f>SUM(D247:D270)</f>
        <v>1864</v>
      </c>
      <c r="E246" s="124">
        <f>SUM(E247:E270)</f>
        <v>1021</v>
      </c>
      <c r="F246" s="124">
        <f>SUM(F247:F270)</f>
        <v>843</v>
      </c>
      <c r="G246" s="8"/>
    </row>
    <row r="247" spans="1:7" s="43" customFormat="1" ht="21" customHeight="1" x14ac:dyDescent="0.15">
      <c r="A247" s="181"/>
      <c r="B247" s="19" t="s">
        <v>614</v>
      </c>
      <c r="C247" s="162">
        <v>46</v>
      </c>
      <c r="D247" s="127">
        <v>73</v>
      </c>
      <c r="E247" s="162">
        <v>39</v>
      </c>
      <c r="F247" s="162">
        <v>34</v>
      </c>
      <c r="G247" s="10"/>
    </row>
    <row r="248" spans="1:7" s="43" customFormat="1" ht="21" customHeight="1" x14ac:dyDescent="0.15">
      <c r="A248" s="181"/>
      <c r="B248" s="19" t="s">
        <v>615</v>
      </c>
      <c r="C248" s="162">
        <v>39</v>
      </c>
      <c r="D248" s="127">
        <v>58</v>
      </c>
      <c r="E248" s="162">
        <v>36</v>
      </c>
      <c r="F248" s="162">
        <v>22</v>
      </c>
      <c r="G248" s="10"/>
    </row>
    <row r="249" spans="1:7" s="43" customFormat="1" ht="21" customHeight="1" x14ac:dyDescent="0.15">
      <c r="A249" s="181"/>
      <c r="B249" s="19" t="s">
        <v>616</v>
      </c>
      <c r="C249" s="162">
        <v>16</v>
      </c>
      <c r="D249" s="127">
        <v>40</v>
      </c>
      <c r="E249" s="162">
        <v>21</v>
      </c>
      <c r="F249" s="162">
        <v>19</v>
      </c>
      <c r="G249" s="10"/>
    </row>
    <row r="250" spans="1:7" s="43" customFormat="1" ht="21" customHeight="1" x14ac:dyDescent="0.15">
      <c r="A250" s="181"/>
      <c r="B250" s="19" t="s">
        <v>617</v>
      </c>
      <c r="C250" s="162">
        <v>57</v>
      </c>
      <c r="D250" s="127">
        <v>87</v>
      </c>
      <c r="E250" s="162">
        <v>58</v>
      </c>
      <c r="F250" s="162">
        <v>29</v>
      </c>
      <c r="G250" s="10"/>
    </row>
    <row r="251" spans="1:7" s="43" customFormat="1" ht="21" customHeight="1" x14ac:dyDescent="0.15">
      <c r="A251" s="181"/>
      <c r="B251" s="19" t="s">
        <v>618</v>
      </c>
      <c r="C251" s="162">
        <v>60</v>
      </c>
      <c r="D251" s="127">
        <v>85</v>
      </c>
      <c r="E251" s="162">
        <v>45</v>
      </c>
      <c r="F251" s="162">
        <v>40</v>
      </c>
      <c r="G251" s="10"/>
    </row>
    <row r="252" spans="1:7" s="43" customFormat="1" ht="21" customHeight="1" x14ac:dyDescent="0.15">
      <c r="A252" s="181"/>
      <c r="B252" s="19" t="s">
        <v>619</v>
      </c>
      <c r="C252" s="162">
        <v>65</v>
      </c>
      <c r="D252" s="127">
        <v>97</v>
      </c>
      <c r="E252" s="162">
        <v>51</v>
      </c>
      <c r="F252" s="162">
        <v>46</v>
      </c>
      <c r="G252" s="10"/>
    </row>
    <row r="253" spans="1:7" s="43" customFormat="1" ht="21" customHeight="1" x14ac:dyDescent="0.15">
      <c r="A253" s="181"/>
      <c r="B253" s="19" t="s">
        <v>620</v>
      </c>
      <c r="C253" s="162">
        <v>57</v>
      </c>
      <c r="D253" s="127">
        <v>104</v>
      </c>
      <c r="E253" s="162">
        <v>47</v>
      </c>
      <c r="F253" s="162">
        <v>57</v>
      </c>
      <c r="G253" s="10"/>
    </row>
    <row r="254" spans="1:7" s="43" customFormat="1" ht="21" customHeight="1" x14ac:dyDescent="0.15">
      <c r="A254" s="181"/>
      <c r="B254" s="19" t="s">
        <v>621</v>
      </c>
      <c r="C254" s="162">
        <v>65</v>
      </c>
      <c r="D254" s="127">
        <v>162</v>
      </c>
      <c r="E254" s="162">
        <v>89</v>
      </c>
      <c r="F254" s="162">
        <v>73</v>
      </c>
      <c r="G254" s="10"/>
    </row>
    <row r="255" spans="1:7" s="43" customFormat="1" ht="21" customHeight="1" x14ac:dyDescent="0.15">
      <c r="A255" s="181"/>
      <c r="B255" s="19" t="s">
        <v>622</v>
      </c>
      <c r="C255" s="162">
        <v>54</v>
      </c>
      <c r="D255" s="127">
        <v>85</v>
      </c>
      <c r="E255" s="162">
        <v>52</v>
      </c>
      <c r="F255" s="162">
        <v>33</v>
      </c>
      <c r="G255" s="10"/>
    </row>
    <row r="256" spans="1:7" s="43" customFormat="1" ht="21" customHeight="1" x14ac:dyDescent="0.15">
      <c r="A256" s="181"/>
      <c r="B256" s="19" t="s">
        <v>623</v>
      </c>
      <c r="C256" s="162">
        <v>26</v>
      </c>
      <c r="D256" s="127">
        <v>42</v>
      </c>
      <c r="E256" s="162">
        <v>20</v>
      </c>
      <c r="F256" s="162">
        <v>22</v>
      </c>
      <c r="G256" s="10"/>
    </row>
    <row r="257" spans="1:7" s="43" customFormat="1" ht="21" customHeight="1" x14ac:dyDescent="0.15">
      <c r="A257" s="181"/>
      <c r="B257" s="19" t="s">
        <v>624</v>
      </c>
      <c r="C257" s="162">
        <v>26</v>
      </c>
      <c r="D257" s="127">
        <v>46</v>
      </c>
      <c r="E257" s="162">
        <v>27</v>
      </c>
      <c r="F257" s="162">
        <v>19</v>
      </c>
      <c r="G257" s="10"/>
    </row>
    <row r="258" spans="1:7" s="43" customFormat="1" ht="21" customHeight="1" x14ac:dyDescent="0.15">
      <c r="A258" s="181"/>
      <c r="B258" s="19" t="s">
        <v>625</v>
      </c>
      <c r="C258" s="162">
        <v>29</v>
      </c>
      <c r="D258" s="127">
        <v>44</v>
      </c>
      <c r="E258" s="162">
        <v>25</v>
      </c>
      <c r="F258" s="162">
        <v>19</v>
      </c>
      <c r="G258" s="10"/>
    </row>
    <row r="259" spans="1:7" s="43" customFormat="1" ht="21" customHeight="1" x14ac:dyDescent="0.15">
      <c r="A259" s="181"/>
      <c r="B259" s="19" t="s">
        <v>626</v>
      </c>
      <c r="C259" s="162">
        <v>72</v>
      </c>
      <c r="D259" s="127">
        <v>104</v>
      </c>
      <c r="E259" s="162">
        <v>59</v>
      </c>
      <c r="F259" s="162">
        <v>45</v>
      </c>
      <c r="G259" s="10"/>
    </row>
    <row r="260" spans="1:7" s="43" customFormat="1" ht="21" customHeight="1" x14ac:dyDescent="0.15">
      <c r="A260" s="181"/>
      <c r="B260" s="19" t="s">
        <v>627</v>
      </c>
      <c r="C260" s="162">
        <v>74</v>
      </c>
      <c r="D260" s="127">
        <v>107</v>
      </c>
      <c r="E260" s="162">
        <v>61</v>
      </c>
      <c r="F260" s="162">
        <v>46</v>
      </c>
      <c r="G260" s="10"/>
    </row>
    <row r="261" spans="1:7" s="43" customFormat="1" ht="21" customHeight="1" x14ac:dyDescent="0.15">
      <c r="A261" s="181"/>
      <c r="B261" s="19" t="s">
        <v>628</v>
      </c>
      <c r="C261" s="162">
        <v>78</v>
      </c>
      <c r="D261" s="127">
        <v>124</v>
      </c>
      <c r="E261" s="162">
        <v>71</v>
      </c>
      <c r="F261" s="162">
        <v>53</v>
      </c>
      <c r="G261" s="10"/>
    </row>
    <row r="262" spans="1:7" s="43" customFormat="1" ht="21" customHeight="1" x14ac:dyDescent="0.15">
      <c r="A262" s="181"/>
      <c r="B262" s="19" t="s">
        <v>629</v>
      </c>
      <c r="C262" s="162">
        <v>40</v>
      </c>
      <c r="D262" s="127">
        <v>65</v>
      </c>
      <c r="E262" s="162">
        <v>31</v>
      </c>
      <c r="F262" s="162">
        <v>34</v>
      </c>
      <c r="G262" s="10"/>
    </row>
    <row r="263" spans="1:7" s="43" customFormat="1" ht="22.5" customHeight="1" x14ac:dyDescent="0.15">
      <c r="A263" s="182"/>
      <c r="B263" s="20" t="s">
        <v>630</v>
      </c>
      <c r="C263" s="162">
        <v>40</v>
      </c>
      <c r="D263" s="127">
        <v>60</v>
      </c>
      <c r="E263" s="162">
        <v>27</v>
      </c>
      <c r="F263" s="162">
        <v>33</v>
      </c>
      <c r="G263" s="12"/>
    </row>
    <row r="264" spans="1:7" s="43" customFormat="1" ht="22.5" customHeight="1" x14ac:dyDescent="0.15">
      <c r="A264" s="182"/>
      <c r="B264" s="19" t="s">
        <v>631</v>
      </c>
      <c r="C264" s="162">
        <v>39</v>
      </c>
      <c r="D264" s="127">
        <v>73</v>
      </c>
      <c r="E264" s="162">
        <v>41</v>
      </c>
      <c r="F264" s="162">
        <v>32</v>
      </c>
      <c r="G264" s="10"/>
    </row>
    <row r="265" spans="1:7" s="43" customFormat="1" ht="22.5" customHeight="1" x14ac:dyDescent="0.15">
      <c r="A265" s="182"/>
      <c r="B265" s="19" t="s">
        <v>283</v>
      </c>
      <c r="C265" s="162">
        <v>48</v>
      </c>
      <c r="D265" s="127">
        <v>72</v>
      </c>
      <c r="E265" s="162">
        <v>38</v>
      </c>
      <c r="F265" s="162">
        <v>34</v>
      </c>
      <c r="G265" s="10"/>
    </row>
    <row r="266" spans="1:7" s="43" customFormat="1" ht="22.5" customHeight="1" x14ac:dyDescent="0.15">
      <c r="A266" s="182"/>
      <c r="B266" s="19" t="s">
        <v>632</v>
      </c>
      <c r="C266" s="162">
        <v>43</v>
      </c>
      <c r="D266" s="127">
        <v>66</v>
      </c>
      <c r="E266" s="162">
        <v>37</v>
      </c>
      <c r="F266" s="162">
        <v>29</v>
      </c>
      <c r="G266" s="10"/>
    </row>
    <row r="267" spans="1:7" s="43" customFormat="1" ht="22.5" customHeight="1" x14ac:dyDescent="0.15">
      <c r="A267" s="182"/>
      <c r="B267" s="19" t="s">
        <v>633</v>
      </c>
      <c r="C267" s="162">
        <v>59</v>
      </c>
      <c r="D267" s="127">
        <v>109</v>
      </c>
      <c r="E267" s="162">
        <v>57</v>
      </c>
      <c r="F267" s="162">
        <v>52</v>
      </c>
      <c r="G267" s="10"/>
    </row>
    <row r="268" spans="1:7" s="43" customFormat="1" ht="22.5" customHeight="1" x14ac:dyDescent="0.15">
      <c r="A268" s="182"/>
      <c r="B268" s="19" t="s">
        <v>634</v>
      </c>
      <c r="C268" s="162">
        <v>43</v>
      </c>
      <c r="D268" s="127">
        <v>76</v>
      </c>
      <c r="E268" s="162">
        <v>41</v>
      </c>
      <c r="F268" s="162">
        <v>35</v>
      </c>
      <c r="G268" s="10"/>
    </row>
    <row r="269" spans="1:7" s="43" customFormat="1" ht="22.5" customHeight="1" x14ac:dyDescent="0.15">
      <c r="A269" s="182"/>
      <c r="B269" s="19" t="s">
        <v>635</v>
      </c>
      <c r="C269" s="162">
        <v>43</v>
      </c>
      <c r="D269" s="127">
        <v>69</v>
      </c>
      <c r="E269" s="162">
        <v>37</v>
      </c>
      <c r="F269" s="162">
        <v>32</v>
      </c>
      <c r="G269" s="10"/>
    </row>
    <row r="270" spans="1:7" s="43" customFormat="1" ht="22.5" customHeight="1" thickBot="1" x14ac:dyDescent="0.2">
      <c r="A270" s="183"/>
      <c r="B270" s="24" t="s">
        <v>636</v>
      </c>
      <c r="C270" s="126">
        <v>10</v>
      </c>
      <c r="D270" s="127">
        <v>16</v>
      </c>
      <c r="E270" s="126">
        <v>11</v>
      </c>
      <c r="F270" s="126">
        <v>5</v>
      </c>
      <c r="G270" s="25"/>
    </row>
    <row r="271" spans="1:7" s="43" customFormat="1" ht="22.5" customHeight="1" thickTop="1" x14ac:dyDescent="0.15">
      <c r="A271" s="180" t="s">
        <v>284</v>
      </c>
      <c r="B271" s="7" t="s">
        <v>0</v>
      </c>
      <c r="C271" s="124">
        <f>SUM(C272:C291)</f>
        <v>2758</v>
      </c>
      <c r="D271" s="125">
        <f>SUM(D272:D291)</f>
        <v>4395</v>
      </c>
      <c r="E271" s="124">
        <f>SUM(E272:E291)</f>
        <v>2305</v>
      </c>
      <c r="F271" s="124">
        <f>SUM(F272:F291)</f>
        <v>2090</v>
      </c>
      <c r="G271" s="8"/>
    </row>
    <row r="272" spans="1:7" s="43" customFormat="1" ht="22.5" customHeight="1" x14ac:dyDescent="0.15">
      <c r="A272" s="181"/>
      <c r="B272" s="19" t="s">
        <v>86</v>
      </c>
      <c r="C272" s="162">
        <v>104</v>
      </c>
      <c r="D272" s="249">
        <v>142</v>
      </c>
      <c r="E272" s="162">
        <v>78</v>
      </c>
      <c r="F272" s="162">
        <v>64</v>
      </c>
      <c r="G272" s="10"/>
    </row>
    <row r="273" spans="1:7" s="43" customFormat="1" ht="22.5" customHeight="1" x14ac:dyDescent="0.15">
      <c r="A273" s="181"/>
      <c r="B273" s="19" t="s">
        <v>67</v>
      </c>
      <c r="C273" s="162">
        <v>122</v>
      </c>
      <c r="D273" s="249">
        <v>158</v>
      </c>
      <c r="E273" s="162">
        <v>95</v>
      </c>
      <c r="F273" s="162">
        <v>63</v>
      </c>
      <c r="G273" s="10"/>
    </row>
    <row r="274" spans="1:7" s="43" customFormat="1" ht="22.5" customHeight="1" x14ac:dyDescent="0.15">
      <c r="A274" s="181"/>
      <c r="B274" s="19" t="s">
        <v>68</v>
      </c>
      <c r="C274" s="162">
        <v>123</v>
      </c>
      <c r="D274" s="249">
        <v>156</v>
      </c>
      <c r="E274" s="162">
        <v>106</v>
      </c>
      <c r="F274" s="162">
        <v>50</v>
      </c>
      <c r="G274" s="10"/>
    </row>
    <row r="275" spans="1:7" s="43" customFormat="1" ht="22.5" customHeight="1" x14ac:dyDescent="0.15">
      <c r="A275" s="181"/>
      <c r="B275" s="19" t="s">
        <v>69</v>
      </c>
      <c r="C275" s="162">
        <v>35</v>
      </c>
      <c r="D275" s="249">
        <v>45</v>
      </c>
      <c r="E275" s="162">
        <v>35</v>
      </c>
      <c r="F275" s="162">
        <v>10</v>
      </c>
      <c r="G275" s="15"/>
    </row>
    <row r="276" spans="1:7" s="43" customFormat="1" ht="22.5" customHeight="1" x14ac:dyDescent="0.15">
      <c r="A276" s="181"/>
      <c r="B276" s="19" t="s">
        <v>70</v>
      </c>
      <c r="C276" s="162">
        <v>73</v>
      </c>
      <c r="D276" s="249">
        <v>92</v>
      </c>
      <c r="E276" s="162">
        <v>61</v>
      </c>
      <c r="F276" s="162">
        <v>31</v>
      </c>
      <c r="G276" s="15"/>
    </row>
    <row r="277" spans="1:7" s="43" customFormat="1" ht="22.5" customHeight="1" x14ac:dyDescent="0.15">
      <c r="A277" s="181"/>
      <c r="B277" s="19" t="s">
        <v>71</v>
      </c>
      <c r="C277" s="162">
        <v>19</v>
      </c>
      <c r="D277" s="249">
        <v>24</v>
      </c>
      <c r="E277" s="162">
        <v>16</v>
      </c>
      <c r="F277" s="162">
        <v>8</v>
      </c>
      <c r="G277" s="15"/>
    </row>
    <row r="278" spans="1:7" s="43" customFormat="1" ht="22.5" customHeight="1" x14ac:dyDescent="0.15">
      <c r="A278" s="181"/>
      <c r="B278" s="19" t="s">
        <v>72</v>
      </c>
      <c r="C278" s="162">
        <v>132</v>
      </c>
      <c r="D278" s="249">
        <v>202</v>
      </c>
      <c r="E278" s="162">
        <v>109</v>
      </c>
      <c r="F278" s="162">
        <v>93</v>
      </c>
      <c r="G278" s="15"/>
    </row>
    <row r="279" spans="1:7" s="43" customFormat="1" ht="22.5" customHeight="1" x14ac:dyDescent="0.15">
      <c r="A279" s="181"/>
      <c r="B279" s="19" t="s">
        <v>73</v>
      </c>
      <c r="C279" s="162">
        <v>130</v>
      </c>
      <c r="D279" s="249">
        <v>219</v>
      </c>
      <c r="E279" s="162">
        <v>103</v>
      </c>
      <c r="F279" s="162">
        <v>116</v>
      </c>
      <c r="G279" s="15"/>
    </row>
    <row r="280" spans="1:7" s="43" customFormat="1" ht="22.5" customHeight="1" x14ac:dyDescent="0.15">
      <c r="A280" s="181"/>
      <c r="B280" s="19" t="s">
        <v>74</v>
      </c>
      <c r="C280" s="162">
        <v>129</v>
      </c>
      <c r="D280" s="249">
        <v>194</v>
      </c>
      <c r="E280" s="162">
        <v>104</v>
      </c>
      <c r="F280" s="162">
        <v>90</v>
      </c>
      <c r="G280" s="15"/>
    </row>
    <row r="281" spans="1:7" s="43" customFormat="1" ht="22.5" customHeight="1" x14ac:dyDescent="0.15">
      <c r="A281" s="181"/>
      <c r="B281" s="21" t="s">
        <v>75</v>
      </c>
      <c r="C281" s="162">
        <v>135</v>
      </c>
      <c r="D281" s="249">
        <v>207</v>
      </c>
      <c r="E281" s="162">
        <v>106</v>
      </c>
      <c r="F281" s="162">
        <v>101</v>
      </c>
      <c r="G281" s="15"/>
    </row>
    <row r="282" spans="1:7" s="43" customFormat="1" ht="22.5" customHeight="1" x14ac:dyDescent="0.15">
      <c r="A282" s="181"/>
      <c r="B282" s="19" t="s">
        <v>76</v>
      </c>
      <c r="C282" s="162">
        <v>82</v>
      </c>
      <c r="D282" s="249">
        <v>129</v>
      </c>
      <c r="E282" s="162">
        <v>67</v>
      </c>
      <c r="F282" s="162">
        <v>62</v>
      </c>
      <c r="G282" s="10"/>
    </row>
    <row r="283" spans="1:7" s="43" customFormat="1" ht="22.5" customHeight="1" x14ac:dyDescent="0.15">
      <c r="A283" s="181"/>
      <c r="B283" s="19" t="s">
        <v>77</v>
      </c>
      <c r="C283" s="162">
        <v>145</v>
      </c>
      <c r="D283" s="249">
        <v>204</v>
      </c>
      <c r="E283" s="162">
        <v>108</v>
      </c>
      <c r="F283" s="162">
        <v>96</v>
      </c>
      <c r="G283" s="10"/>
    </row>
    <row r="284" spans="1:7" s="43" customFormat="1" ht="22.5" customHeight="1" x14ac:dyDescent="0.15">
      <c r="A284" s="181"/>
      <c r="B284" s="19" t="s">
        <v>78</v>
      </c>
      <c r="C284" s="162">
        <v>52</v>
      </c>
      <c r="D284" s="249">
        <v>83</v>
      </c>
      <c r="E284" s="162">
        <v>36</v>
      </c>
      <c r="F284" s="162">
        <v>47</v>
      </c>
      <c r="G284" s="10"/>
    </row>
    <row r="285" spans="1:7" s="43" customFormat="1" ht="22.5" customHeight="1" x14ac:dyDescent="0.15">
      <c r="A285" s="181"/>
      <c r="B285" s="19" t="s">
        <v>79</v>
      </c>
      <c r="C285" s="162">
        <v>191</v>
      </c>
      <c r="D285" s="249">
        <v>312</v>
      </c>
      <c r="E285" s="162">
        <v>158</v>
      </c>
      <c r="F285" s="162">
        <v>154</v>
      </c>
      <c r="G285" s="10"/>
    </row>
    <row r="286" spans="1:7" s="43" customFormat="1" ht="22.5" customHeight="1" x14ac:dyDescent="0.15">
      <c r="A286" s="181"/>
      <c r="B286" s="19" t="s">
        <v>80</v>
      </c>
      <c r="C286" s="162">
        <v>259</v>
      </c>
      <c r="D286" s="249">
        <v>416</v>
      </c>
      <c r="E286" s="162">
        <v>201</v>
      </c>
      <c r="F286" s="162">
        <v>215</v>
      </c>
      <c r="G286" s="15"/>
    </row>
    <row r="287" spans="1:7" s="43" customFormat="1" ht="22.5" customHeight="1" x14ac:dyDescent="0.15">
      <c r="A287" s="181"/>
      <c r="B287" s="19" t="s">
        <v>81</v>
      </c>
      <c r="C287" s="162">
        <v>190</v>
      </c>
      <c r="D287" s="249">
        <v>345</v>
      </c>
      <c r="E287" s="162">
        <v>172</v>
      </c>
      <c r="F287" s="162">
        <v>173</v>
      </c>
      <c r="G287" s="10"/>
    </row>
    <row r="288" spans="1:7" s="43" customFormat="1" ht="22.5" customHeight="1" x14ac:dyDescent="0.15">
      <c r="A288" s="182"/>
      <c r="B288" s="20" t="s">
        <v>82</v>
      </c>
      <c r="C288" s="162">
        <v>97</v>
      </c>
      <c r="D288" s="249">
        <v>135</v>
      </c>
      <c r="E288" s="162">
        <v>68</v>
      </c>
      <c r="F288" s="162">
        <v>67</v>
      </c>
      <c r="G288" s="23"/>
    </row>
    <row r="289" spans="1:7" s="43" customFormat="1" ht="22.5" customHeight="1" x14ac:dyDescent="0.15">
      <c r="A289" s="182"/>
      <c r="B289" s="19" t="s">
        <v>83</v>
      </c>
      <c r="C289" s="162">
        <v>312</v>
      </c>
      <c r="D289" s="249">
        <v>534</v>
      </c>
      <c r="E289" s="162">
        <v>275</v>
      </c>
      <c r="F289" s="162">
        <v>259</v>
      </c>
      <c r="G289" s="15"/>
    </row>
    <row r="290" spans="1:7" s="43" customFormat="1" ht="22.5" customHeight="1" x14ac:dyDescent="0.15">
      <c r="A290" s="182"/>
      <c r="B290" s="19" t="s">
        <v>84</v>
      </c>
      <c r="C290" s="162">
        <v>231</v>
      </c>
      <c r="D290" s="249">
        <v>381</v>
      </c>
      <c r="E290" s="162">
        <v>198</v>
      </c>
      <c r="F290" s="162">
        <v>183</v>
      </c>
      <c r="G290" s="15"/>
    </row>
    <row r="291" spans="1:7" s="43" customFormat="1" ht="22.5" customHeight="1" thickBot="1" x14ac:dyDescent="0.2">
      <c r="A291" s="183"/>
      <c r="B291" s="21" t="s">
        <v>85</v>
      </c>
      <c r="C291" s="126">
        <v>197</v>
      </c>
      <c r="D291" s="249">
        <v>417</v>
      </c>
      <c r="E291" s="126">
        <v>209</v>
      </c>
      <c r="F291" s="126">
        <v>208</v>
      </c>
      <c r="G291" s="15"/>
    </row>
    <row r="292" spans="1:7" s="43" customFormat="1" ht="22.5" customHeight="1" thickTop="1" x14ac:dyDescent="0.15">
      <c r="A292" s="174" t="s">
        <v>285</v>
      </c>
      <c r="B292" s="7" t="s">
        <v>0</v>
      </c>
      <c r="C292" s="124">
        <f>SUM(C293:C310)</f>
        <v>3926</v>
      </c>
      <c r="D292" s="125">
        <f>SUM(D293:D310)</f>
        <v>7785</v>
      </c>
      <c r="E292" s="124">
        <f>SUM(E293:E310)</f>
        <v>3913</v>
      </c>
      <c r="F292" s="124">
        <f>SUM(F293:F310)</f>
        <v>3872</v>
      </c>
      <c r="G292" s="8"/>
    </row>
    <row r="293" spans="1:7" s="43" customFormat="1" ht="22.5" customHeight="1" x14ac:dyDescent="0.15">
      <c r="A293" s="175"/>
      <c r="B293" s="19" t="s">
        <v>86</v>
      </c>
      <c r="C293" s="162">
        <v>66</v>
      </c>
      <c r="D293" s="127">
        <v>73</v>
      </c>
      <c r="E293" s="162">
        <v>28</v>
      </c>
      <c r="F293" s="162">
        <v>45</v>
      </c>
      <c r="G293" s="10"/>
    </row>
    <row r="294" spans="1:7" s="43" customFormat="1" ht="22.5" customHeight="1" x14ac:dyDescent="0.15">
      <c r="A294" s="175"/>
      <c r="B294" s="19" t="s">
        <v>67</v>
      </c>
      <c r="C294" s="162">
        <v>130</v>
      </c>
      <c r="D294" s="127">
        <v>172</v>
      </c>
      <c r="E294" s="162">
        <v>91</v>
      </c>
      <c r="F294" s="162">
        <v>81</v>
      </c>
      <c r="G294" s="15"/>
    </row>
    <row r="295" spans="1:7" s="43" customFormat="1" ht="22.5" customHeight="1" x14ac:dyDescent="0.15">
      <c r="A295" s="175"/>
      <c r="B295" s="19" t="s">
        <v>68</v>
      </c>
      <c r="C295" s="162">
        <v>586</v>
      </c>
      <c r="D295" s="127">
        <v>674</v>
      </c>
      <c r="E295" s="162">
        <v>325</v>
      </c>
      <c r="F295" s="162">
        <v>349</v>
      </c>
      <c r="G295" s="15"/>
    </row>
    <row r="296" spans="1:7" s="43" customFormat="1" ht="22.5" customHeight="1" x14ac:dyDescent="0.15">
      <c r="A296" s="175"/>
      <c r="B296" s="19" t="s">
        <v>69</v>
      </c>
      <c r="C296" s="162">
        <v>105</v>
      </c>
      <c r="D296" s="127">
        <v>143</v>
      </c>
      <c r="E296" s="162">
        <v>76</v>
      </c>
      <c r="F296" s="162">
        <v>67</v>
      </c>
      <c r="G296" s="15"/>
    </row>
    <row r="297" spans="1:7" s="43" customFormat="1" ht="22.5" customHeight="1" x14ac:dyDescent="0.15">
      <c r="A297" s="175"/>
      <c r="B297" s="19" t="s">
        <v>70</v>
      </c>
      <c r="C297" s="162">
        <v>233</v>
      </c>
      <c r="D297" s="127">
        <v>446</v>
      </c>
      <c r="E297" s="162">
        <v>215</v>
      </c>
      <c r="F297" s="162">
        <v>231</v>
      </c>
      <c r="G297" s="15"/>
    </row>
    <row r="298" spans="1:7" s="43" customFormat="1" ht="22.5" customHeight="1" x14ac:dyDescent="0.15">
      <c r="A298" s="175"/>
      <c r="B298" s="19" t="s">
        <v>71</v>
      </c>
      <c r="C298" s="162">
        <v>119</v>
      </c>
      <c r="D298" s="127">
        <v>135</v>
      </c>
      <c r="E298" s="162">
        <v>86</v>
      </c>
      <c r="F298" s="162">
        <v>49</v>
      </c>
      <c r="G298" s="15"/>
    </row>
    <row r="299" spans="1:7" s="43" customFormat="1" ht="22.5" customHeight="1" x14ac:dyDescent="0.15">
      <c r="A299" s="175"/>
      <c r="B299" s="19" t="s">
        <v>72</v>
      </c>
      <c r="C299" s="162">
        <v>173</v>
      </c>
      <c r="D299" s="127">
        <v>331</v>
      </c>
      <c r="E299" s="162">
        <v>142</v>
      </c>
      <c r="F299" s="162">
        <v>189</v>
      </c>
      <c r="G299" s="15"/>
    </row>
    <row r="300" spans="1:7" s="43" customFormat="1" ht="22.5" customHeight="1" x14ac:dyDescent="0.15">
      <c r="A300" s="175"/>
      <c r="B300" s="21" t="s">
        <v>73</v>
      </c>
      <c r="C300" s="162">
        <v>185</v>
      </c>
      <c r="D300" s="127">
        <v>290</v>
      </c>
      <c r="E300" s="162">
        <v>157</v>
      </c>
      <c r="F300" s="162">
        <v>133</v>
      </c>
      <c r="G300" s="15"/>
    </row>
    <row r="301" spans="1:7" s="43" customFormat="1" ht="22.5" customHeight="1" x14ac:dyDescent="0.15">
      <c r="A301" s="175"/>
      <c r="B301" s="19" t="s">
        <v>74</v>
      </c>
      <c r="C301" s="162">
        <v>312</v>
      </c>
      <c r="D301" s="127">
        <v>476</v>
      </c>
      <c r="E301" s="162">
        <v>250</v>
      </c>
      <c r="F301" s="162">
        <v>226</v>
      </c>
      <c r="G301" s="10"/>
    </row>
    <row r="302" spans="1:7" s="43" customFormat="1" ht="22.5" customHeight="1" x14ac:dyDescent="0.15">
      <c r="A302" s="175"/>
      <c r="B302" s="19" t="s">
        <v>75</v>
      </c>
      <c r="C302" s="162">
        <v>0</v>
      </c>
      <c r="D302" s="127">
        <v>0</v>
      </c>
      <c r="E302" s="162">
        <v>0</v>
      </c>
      <c r="F302" s="162">
        <v>0</v>
      </c>
      <c r="G302" s="15"/>
    </row>
    <row r="303" spans="1:7" s="43" customFormat="1" ht="22.5" customHeight="1" x14ac:dyDescent="0.15">
      <c r="A303" s="175"/>
      <c r="B303" s="19" t="s">
        <v>76</v>
      </c>
      <c r="C303" s="162">
        <v>0</v>
      </c>
      <c r="D303" s="127">
        <v>0</v>
      </c>
      <c r="E303" s="162">
        <v>0</v>
      </c>
      <c r="F303" s="162">
        <v>0</v>
      </c>
      <c r="G303" s="15"/>
    </row>
    <row r="304" spans="1:7" s="43" customFormat="1" ht="22.5" customHeight="1" x14ac:dyDescent="0.15">
      <c r="A304" s="175"/>
      <c r="B304" s="19" t="s">
        <v>77</v>
      </c>
      <c r="C304" s="162">
        <v>123</v>
      </c>
      <c r="D304" s="127">
        <v>171</v>
      </c>
      <c r="E304" s="162">
        <v>102</v>
      </c>
      <c r="F304" s="162">
        <v>69</v>
      </c>
      <c r="G304" s="15"/>
    </row>
    <row r="305" spans="1:7" s="43" customFormat="1" ht="22.5" customHeight="1" x14ac:dyDescent="0.15">
      <c r="A305" s="175"/>
      <c r="B305" s="19" t="s">
        <v>78</v>
      </c>
      <c r="C305" s="162">
        <v>0</v>
      </c>
      <c r="D305" s="127">
        <v>0</v>
      </c>
      <c r="E305" s="162">
        <v>0</v>
      </c>
      <c r="F305" s="162">
        <v>0</v>
      </c>
      <c r="G305" s="15"/>
    </row>
    <row r="306" spans="1:7" s="43" customFormat="1" ht="22.5" customHeight="1" x14ac:dyDescent="0.15">
      <c r="A306" s="175"/>
      <c r="B306" s="19" t="s">
        <v>79</v>
      </c>
      <c r="C306" s="162">
        <v>0</v>
      </c>
      <c r="D306" s="127">
        <v>0</v>
      </c>
      <c r="E306" s="162">
        <v>0</v>
      </c>
      <c r="F306" s="162">
        <v>0</v>
      </c>
      <c r="G306" s="15"/>
    </row>
    <row r="307" spans="1:7" s="43" customFormat="1" ht="22.5" customHeight="1" x14ac:dyDescent="0.15">
      <c r="A307" s="175"/>
      <c r="B307" s="19" t="s">
        <v>80</v>
      </c>
      <c r="C307" s="162">
        <v>426</v>
      </c>
      <c r="D307" s="127">
        <v>977</v>
      </c>
      <c r="E307" s="162">
        <v>497</v>
      </c>
      <c r="F307" s="162">
        <v>480</v>
      </c>
      <c r="G307" s="10"/>
    </row>
    <row r="308" spans="1:7" s="43" customFormat="1" ht="22.5" customHeight="1" x14ac:dyDescent="0.15">
      <c r="A308" s="83"/>
      <c r="B308" s="19" t="s">
        <v>81</v>
      </c>
      <c r="C308" s="164">
        <v>532</v>
      </c>
      <c r="D308" s="127">
        <v>1429</v>
      </c>
      <c r="E308" s="164">
        <v>716</v>
      </c>
      <c r="F308" s="164">
        <v>713</v>
      </c>
      <c r="G308" s="12"/>
    </row>
    <row r="309" spans="1:7" s="43" customFormat="1" ht="22.5" customHeight="1" x14ac:dyDescent="0.15">
      <c r="A309" s="83"/>
      <c r="B309" s="19" t="s">
        <v>82</v>
      </c>
      <c r="C309" s="164">
        <v>484</v>
      </c>
      <c r="D309" s="127">
        <v>1292</v>
      </c>
      <c r="E309" s="164">
        <v>649</v>
      </c>
      <c r="F309" s="164">
        <v>643</v>
      </c>
      <c r="G309" s="12"/>
    </row>
    <row r="310" spans="1:7" s="43" customFormat="1" ht="22.5" customHeight="1" thickBot="1" x14ac:dyDescent="0.2">
      <c r="A310" s="83"/>
      <c r="B310" s="19" t="s">
        <v>83</v>
      </c>
      <c r="C310" s="164">
        <v>452</v>
      </c>
      <c r="D310" s="127">
        <v>1176</v>
      </c>
      <c r="E310" s="164">
        <v>579</v>
      </c>
      <c r="F310" s="164">
        <v>597</v>
      </c>
      <c r="G310" s="12"/>
    </row>
    <row r="311" spans="1:7" s="43" customFormat="1" ht="22.5" customHeight="1" thickTop="1" x14ac:dyDescent="0.15">
      <c r="A311" s="180" t="s">
        <v>286</v>
      </c>
      <c r="B311" s="7" t="s">
        <v>0</v>
      </c>
      <c r="C311" s="124">
        <f>SUM(C312:C328)</f>
        <v>3982</v>
      </c>
      <c r="D311" s="125">
        <f>SUM(D312:D328)</f>
        <v>7469</v>
      </c>
      <c r="E311" s="124">
        <f>SUM(E312:E328)</f>
        <v>3875</v>
      </c>
      <c r="F311" s="124">
        <f>SUM(F312:F328)</f>
        <v>3594</v>
      </c>
      <c r="G311" s="8"/>
    </row>
    <row r="312" spans="1:7" s="43" customFormat="1" ht="22.5" customHeight="1" x14ac:dyDescent="0.15">
      <c r="A312" s="182"/>
      <c r="B312" s="19" t="s">
        <v>86</v>
      </c>
      <c r="C312" s="162">
        <v>134</v>
      </c>
      <c r="D312" s="127">
        <v>236</v>
      </c>
      <c r="E312" s="162">
        <v>113</v>
      </c>
      <c r="F312" s="162">
        <v>123</v>
      </c>
      <c r="G312" s="10"/>
    </row>
    <row r="313" spans="1:7" s="43" customFormat="1" ht="22.5" customHeight="1" x14ac:dyDescent="0.15">
      <c r="A313" s="182"/>
      <c r="B313" s="19" t="s">
        <v>67</v>
      </c>
      <c r="C313" s="162">
        <v>259</v>
      </c>
      <c r="D313" s="127">
        <v>441</v>
      </c>
      <c r="E313" s="162">
        <v>239</v>
      </c>
      <c r="F313" s="162">
        <v>202</v>
      </c>
      <c r="G313" s="10"/>
    </row>
    <row r="314" spans="1:7" s="43" customFormat="1" ht="22.5" customHeight="1" x14ac:dyDescent="0.15">
      <c r="A314" s="182"/>
      <c r="B314" s="19" t="s">
        <v>68</v>
      </c>
      <c r="C314" s="162">
        <v>182</v>
      </c>
      <c r="D314" s="127">
        <v>297</v>
      </c>
      <c r="E314" s="162">
        <v>146</v>
      </c>
      <c r="F314" s="162">
        <v>151</v>
      </c>
      <c r="G314" s="10"/>
    </row>
    <row r="315" spans="1:7" s="43" customFormat="1" ht="22.5" customHeight="1" x14ac:dyDescent="0.15">
      <c r="A315" s="182"/>
      <c r="B315" s="19" t="s">
        <v>69</v>
      </c>
      <c r="C315" s="162">
        <v>214</v>
      </c>
      <c r="D315" s="127">
        <v>425</v>
      </c>
      <c r="E315" s="162">
        <v>201</v>
      </c>
      <c r="F315" s="162">
        <v>224</v>
      </c>
      <c r="G315" s="15"/>
    </row>
    <row r="316" spans="1:7" s="43" customFormat="1" ht="22.5" customHeight="1" x14ac:dyDescent="0.15">
      <c r="A316" s="182"/>
      <c r="B316" s="19" t="s">
        <v>70</v>
      </c>
      <c r="C316" s="162">
        <v>222</v>
      </c>
      <c r="D316" s="127">
        <v>411</v>
      </c>
      <c r="E316" s="162">
        <v>221</v>
      </c>
      <c r="F316" s="162">
        <v>190</v>
      </c>
      <c r="G316" s="10"/>
    </row>
    <row r="317" spans="1:7" s="43" customFormat="1" ht="22.5" customHeight="1" x14ac:dyDescent="0.15">
      <c r="A317" s="182"/>
      <c r="B317" s="19" t="s">
        <v>71</v>
      </c>
      <c r="C317" s="162">
        <v>246</v>
      </c>
      <c r="D317" s="127">
        <v>461</v>
      </c>
      <c r="E317" s="162">
        <v>240</v>
      </c>
      <c r="F317" s="162">
        <v>221</v>
      </c>
      <c r="G317" s="23"/>
    </row>
    <row r="318" spans="1:7" s="43" customFormat="1" ht="22.5" customHeight="1" x14ac:dyDescent="0.15">
      <c r="A318" s="182"/>
      <c r="B318" s="19" t="s">
        <v>72</v>
      </c>
      <c r="C318" s="162">
        <v>300</v>
      </c>
      <c r="D318" s="127">
        <v>540</v>
      </c>
      <c r="E318" s="162">
        <v>286</v>
      </c>
      <c r="F318" s="162">
        <v>254</v>
      </c>
      <c r="G318" s="15"/>
    </row>
    <row r="319" spans="1:7" s="43" customFormat="1" ht="22.5" customHeight="1" x14ac:dyDescent="0.15">
      <c r="A319" s="182"/>
      <c r="B319" s="19" t="s">
        <v>73</v>
      </c>
      <c r="C319" s="162">
        <v>193</v>
      </c>
      <c r="D319" s="127">
        <v>333</v>
      </c>
      <c r="E319" s="162">
        <v>186</v>
      </c>
      <c r="F319" s="162">
        <v>147</v>
      </c>
      <c r="G319" s="15"/>
    </row>
    <row r="320" spans="1:7" s="43" customFormat="1" ht="22.5" customHeight="1" x14ac:dyDescent="0.15">
      <c r="A320" s="182"/>
      <c r="B320" s="19" t="s">
        <v>74</v>
      </c>
      <c r="C320" s="162">
        <v>265</v>
      </c>
      <c r="D320" s="127">
        <v>559</v>
      </c>
      <c r="E320" s="162">
        <v>289</v>
      </c>
      <c r="F320" s="162">
        <v>270</v>
      </c>
      <c r="G320" s="15"/>
    </row>
    <row r="321" spans="1:7" s="43" customFormat="1" ht="22.5" customHeight="1" x14ac:dyDescent="0.15">
      <c r="A321" s="182"/>
      <c r="B321" s="19" t="s">
        <v>75</v>
      </c>
      <c r="C321" s="162">
        <v>235</v>
      </c>
      <c r="D321" s="127">
        <v>444</v>
      </c>
      <c r="E321" s="162">
        <v>225</v>
      </c>
      <c r="F321" s="162">
        <v>219</v>
      </c>
      <c r="G321" s="15"/>
    </row>
    <row r="322" spans="1:7" s="43" customFormat="1" ht="22.5" customHeight="1" x14ac:dyDescent="0.15">
      <c r="A322" s="182"/>
      <c r="B322" s="19" t="s">
        <v>76</v>
      </c>
      <c r="C322" s="162">
        <v>271</v>
      </c>
      <c r="D322" s="127">
        <v>486</v>
      </c>
      <c r="E322" s="162">
        <v>253</v>
      </c>
      <c r="F322" s="162">
        <v>233</v>
      </c>
      <c r="G322" s="15"/>
    </row>
    <row r="323" spans="1:7" s="43" customFormat="1" ht="22.5" customHeight="1" x14ac:dyDescent="0.15">
      <c r="A323" s="182"/>
      <c r="B323" s="19" t="s">
        <v>77</v>
      </c>
      <c r="C323" s="162">
        <v>183</v>
      </c>
      <c r="D323" s="127">
        <v>360</v>
      </c>
      <c r="E323" s="162">
        <v>177</v>
      </c>
      <c r="F323" s="162">
        <v>183</v>
      </c>
      <c r="G323" s="15"/>
    </row>
    <row r="324" spans="1:7" s="43" customFormat="1" ht="22.5" customHeight="1" x14ac:dyDescent="0.15">
      <c r="A324" s="182"/>
      <c r="B324" s="19" t="s">
        <v>78</v>
      </c>
      <c r="C324" s="162">
        <v>163</v>
      </c>
      <c r="D324" s="127">
        <v>292</v>
      </c>
      <c r="E324" s="162">
        <v>154</v>
      </c>
      <c r="F324" s="162">
        <v>138</v>
      </c>
      <c r="G324" s="15"/>
    </row>
    <row r="325" spans="1:7" s="43" customFormat="1" ht="22.5" customHeight="1" x14ac:dyDescent="0.15">
      <c r="A325" s="182"/>
      <c r="B325" s="19" t="s">
        <v>79</v>
      </c>
      <c r="C325" s="162">
        <v>65</v>
      </c>
      <c r="D325" s="127">
        <v>133</v>
      </c>
      <c r="E325" s="162">
        <v>65</v>
      </c>
      <c r="F325" s="162">
        <v>68</v>
      </c>
      <c r="G325" s="10"/>
    </row>
    <row r="326" spans="1:7" s="43" customFormat="1" ht="22.5" customHeight="1" x14ac:dyDescent="0.15">
      <c r="A326" s="182"/>
      <c r="B326" s="19" t="s">
        <v>80</v>
      </c>
      <c r="C326" s="162">
        <v>302</v>
      </c>
      <c r="D326" s="127">
        <v>579</v>
      </c>
      <c r="E326" s="162">
        <v>295</v>
      </c>
      <c r="F326" s="162">
        <v>284</v>
      </c>
      <c r="G326" s="12"/>
    </row>
    <row r="327" spans="1:7" s="43" customFormat="1" ht="22.5" customHeight="1" x14ac:dyDescent="0.15">
      <c r="A327" s="182"/>
      <c r="B327" s="19" t="s">
        <v>81</v>
      </c>
      <c r="C327" s="162">
        <v>220</v>
      </c>
      <c r="D327" s="127">
        <v>510</v>
      </c>
      <c r="E327" s="162">
        <v>263</v>
      </c>
      <c r="F327" s="162">
        <v>247</v>
      </c>
      <c r="G327" s="15"/>
    </row>
    <row r="328" spans="1:7" s="43" customFormat="1" ht="22.5" customHeight="1" thickBot="1" x14ac:dyDescent="0.2">
      <c r="A328" s="182"/>
      <c r="B328" s="19" t="s">
        <v>82</v>
      </c>
      <c r="C328" s="162">
        <v>528</v>
      </c>
      <c r="D328" s="127">
        <v>962</v>
      </c>
      <c r="E328" s="162">
        <v>522</v>
      </c>
      <c r="F328" s="162">
        <v>440</v>
      </c>
      <c r="G328" s="15"/>
    </row>
    <row r="329" spans="1:7" s="43" customFormat="1" ht="22.5" customHeight="1" thickTop="1" x14ac:dyDescent="0.15">
      <c r="A329" s="180" t="s">
        <v>287</v>
      </c>
      <c r="B329" s="26" t="s">
        <v>0</v>
      </c>
      <c r="C329" s="128">
        <f>SUM(C330:C349)</f>
        <v>4771</v>
      </c>
      <c r="D329" s="129">
        <f t="shared" ref="D329:F329" si="1">SUM(D330:D349)</f>
        <v>8493</v>
      </c>
      <c r="E329" s="128">
        <f t="shared" si="1"/>
        <v>4340</v>
      </c>
      <c r="F329" s="128">
        <f t="shared" si="1"/>
        <v>4153</v>
      </c>
      <c r="G329" s="27"/>
    </row>
    <row r="330" spans="1:7" s="43" customFormat="1" ht="22.5" customHeight="1" x14ac:dyDescent="0.15">
      <c r="A330" s="182"/>
      <c r="B330" s="19" t="s">
        <v>86</v>
      </c>
      <c r="C330" s="162">
        <v>64</v>
      </c>
      <c r="D330" s="127">
        <v>143</v>
      </c>
      <c r="E330" s="162">
        <v>74</v>
      </c>
      <c r="F330" s="162">
        <v>69</v>
      </c>
      <c r="G330" s="10"/>
    </row>
    <row r="331" spans="1:7" s="43" customFormat="1" ht="22.5" customHeight="1" x14ac:dyDescent="0.15">
      <c r="A331" s="182"/>
      <c r="B331" s="19" t="s">
        <v>67</v>
      </c>
      <c r="C331" s="162">
        <v>145</v>
      </c>
      <c r="D331" s="127">
        <v>338</v>
      </c>
      <c r="E331" s="162">
        <v>171</v>
      </c>
      <c r="F331" s="162">
        <v>167</v>
      </c>
      <c r="G331" s="10"/>
    </row>
    <row r="332" spans="1:7" s="43" customFormat="1" ht="22.5" customHeight="1" x14ac:dyDescent="0.15">
      <c r="A332" s="182"/>
      <c r="B332" s="19" t="s">
        <v>68</v>
      </c>
      <c r="C332" s="162">
        <v>129</v>
      </c>
      <c r="D332" s="127">
        <v>237</v>
      </c>
      <c r="E332" s="162">
        <v>111</v>
      </c>
      <c r="F332" s="162">
        <v>126</v>
      </c>
      <c r="G332" s="10"/>
    </row>
    <row r="333" spans="1:7" s="43" customFormat="1" ht="22.5" customHeight="1" x14ac:dyDescent="0.15">
      <c r="A333" s="182"/>
      <c r="B333" s="19" t="s">
        <v>69</v>
      </c>
      <c r="C333" s="162">
        <v>141</v>
      </c>
      <c r="D333" s="127">
        <v>270</v>
      </c>
      <c r="E333" s="162">
        <v>127</v>
      </c>
      <c r="F333" s="162">
        <v>143</v>
      </c>
      <c r="G333" s="10"/>
    </row>
    <row r="334" spans="1:7" s="43" customFormat="1" ht="22.5" customHeight="1" x14ac:dyDescent="0.15">
      <c r="A334" s="182"/>
      <c r="B334" s="19" t="s">
        <v>70</v>
      </c>
      <c r="C334" s="162">
        <v>277</v>
      </c>
      <c r="D334" s="127">
        <v>506</v>
      </c>
      <c r="E334" s="162">
        <v>240</v>
      </c>
      <c r="F334" s="162">
        <v>266</v>
      </c>
      <c r="G334" s="10"/>
    </row>
    <row r="335" spans="1:7" s="43" customFormat="1" ht="22.5" customHeight="1" x14ac:dyDescent="0.15">
      <c r="A335" s="182"/>
      <c r="B335" s="19" t="s">
        <v>71</v>
      </c>
      <c r="C335" s="162">
        <v>94</v>
      </c>
      <c r="D335" s="127">
        <v>164</v>
      </c>
      <c r="E335" s="162">
        <v>78</v>
      </c>
      <c r="F335" s="162">
        <v>86</v>
      </c>
      <c r="G335" s="10"/>
    </row>
    <row r="336" spans="1:7" s="43" customFormat="1" ht="22.5" customHeight="1" x14ac:dyDescent="0.15">
      <c r="A336" s="182"/>
      <c r="B336" s="19" t="s">
        <v>72</v>
      </c>
      <c r="C336" s="162">
        <v>308</v>
      </c>
      <c r="D336" s="127">
        <v>575</v>
      </c>
      <c r="E336" s="162">
        <v>236</v>
      </c>
      <c r="F336" s="162">
        <v>339</v>
      </c>
      <c r="G336" s="10"/>
    </row>
    <row r="337" spans="1:7" s="43" customFormat="1" ht="22.5" customHeight="1" x14ac:dyDescent="0.15">
      <c r="A337" s="182"/>
      <c r="B337" s="19" t="s">
        <v>73</v>
      </c>
      <c r="C337" s="162">
        <v>414</v>
      </c>
      <c r="D337" s="127">
        <v>725</v>
      </c>
      <c r="E337" s="162">
        <v>379</v>
      </c>
      <c r="F337" s="162">
        <v>346</v>
      </c>
      <c r="G337" s="10"/>
    </row>
    <row r="338" spans="1:7" s="43" customFormat="1" ht="22.5" customHeight="1" x14ac:dyDescent="0.15">
      <c r="A338" s="182"/>
      <c r="B338" s="19" t="s">
        <v>74</v>
      </c>
      <c r="C338" s="162">
        <v>199</v>
      </c>
      <c r="D338" s="127">
        <v>351</v>
      </c>
      <c r="E338" s="162">
        <v>175</v>
      </c>
      <c r="F338" s="162">
        <v>176</v>
      </c>
      <c r="G338" s="10"/>
    </row>
    <row r="339" spans="1:7" s="43" customFormat="1" ht="22.5" customHeight="1" x14ac:dyDescent="0.15">
      <c r="A339" s="182"/>
      <c r="B339" s="19" t="s">
        <v>75</v>
      </c>
      <c r="C339" s="162">
        <v>207</v>
      </c>
      <c r="D339" s="127">
        <v>390</v>
      </c>
      <c r="E339" s="162">
        <v>196</v>
      </c>
      <c r="F339" s="162">
        <v>194</v>
      </c>
      <c r="G339" s="10"/>
    </row>
    <row r="340" spans="1:7" s="43" customFormat="1" ht="22.5" customHeight="1" x14ac:dyDescent="0.15">
      <c r="A340" s="182"/>
      <c r="B340" s="20" t="s">
        <v>76</v>
      </c>
      <c r="C340" s="162">
        <v>253</v>
      </c>
      <c r="D340" s="127">
        <v>399</v>
      </c>
      <c r="E340" s="162">
        <v>201</v>
      </c>
      <c r="F340" s="162">
        <v>198</v>
      </c>
      <c r="G340" s="12"/>
    </row>
    <row r="341" spans="1:7" s="43" customFormat="1" ht="22.5" customHeight="1" x14ac:dyDescent="0.15">
      <c r="A341" s="182"/>
      <c r="B341" s="19" t="s">
        <v>77</v>
      </c>
      <c r="C341" s="162">
        <v>278</v>
      </c>
      <c r="D341" s="127">
        <v>459</v>
      </c>
      <c r="E341" s="162">
        <v>248</v>
      </c>
      <c r="F341" s="162">
        <v>211</v>
      </c>
      <c r="G341" s="10"/>
    </row>
    <row r="342" spans="1:7" s="43" customFormat="1" ht="22.5" customHeight="1" x14ac:dyDescent="0.15">
      <c r="A342" s="182"/>
      <c r="B342" s="19" t="s">
        <v>78</v>
      </c>
      <c r="C342" s="162">
        <v>207</v>
      </c>
      <c r="D342" s="127">
        <v>379</v>
      </c>
      <c r="E342" s="162">
        <v>201</v>
      </c>
      <c r="F342" s="162">
        <v>178</v>
      </c>
      <c r="G342" s="10"/>
    </row>
    <row r="343" spans="1:7" s="43" customFormat="1" ht="22.5" customHeight="1" x14ac:dyDescent="0.15">
      <c r="A343" s="182"/>
      <c r="B343" s="19" t="s">
        <v>79</v>
      </c>
      <c r="C343" s="162">
        <v>251</v>
      </c>
      <c r="D343" s="127">
        <v>481</v>
      </c>
      <c r="E343" s="162">
        <v>246</v>
      </c>
      <c r="F343" s="162">
        <v>235</v>
      </c>
      <c r="G343" s="10"/>
    </row>
    <row r="344" spans="1:7" s="43" customFormat="1" ht="22.5" customHeight="1" x14ac:dyDescent="0.15">
      <c r="A344" s="182"/>
      <c r="B344" s="19" t="s">
        <v>80</v>
      </c>
      <c r="C344" s="162">
        <v>312</v>
      </c>
      <c r="D344" s="127">
        <v>545</v>
      </c>
      <c r="E344" s="162">
        <v>297</v>
      </c>
      <c r="F344" s="162">
        <v>248</v>
      </c>
      <c r="G344" s="10"/>
    </row>
    <row r="345" spans="1:7" s="43" customFormat="1" ht="22.5" customHeight="1" x14ac:dyDescent="0.15">
      <c r="A345" s="182"/>
      <c r="B345" s="19" t="s">
        <v>81</v>
      </c>
      <c r="C345" s="162">
        <v>353</v>
      </c>
      <c r="D345" s="127">
        <v>606</v>
      </c>
      <c r="E345" s="162">
        <v>324</v>
      </c>
      <c r="F345" s="162">
        <v>282</v>
      </c>
      <c r="G345" s="10"/>
    </row>
    <row r="346" spans="1:7" s="43" customFormat="1" ht="22.5" customHeight="1" x14ac:dyDescent="0.15">
      <c r="A346" s="182"/>
      <c r="B346" s="19" t="s">
        <v>82</v>
      </c>
      <c r="C346" s="162">
        <v>337</v>
      </c>
      <c r="D346" s="127">
        <v>561</v>
      </c>
      <c r="E346" s="162">
        <v>301</v>
      </c>
      <c r="F346" s="162">
        <v>260</v>
      </c>
      <c r="G346" s="10"/>
    </row>
    <row r="347" spans="1:7" s="43" customFormat="1" ht="22.5" customHeight="1" x14ac:dyDescent="0.15">
      <c r="A347" s="182"/>
      <c r="B347" s="19" t="s">
        <v>83</v>
      </c>
      <c r="C347" s="162">
        <v>274</v>
      </c>
      <c r="D347" s="127">
        <v>496</v>
      </c>
      <c r="E347" s="162">
        <v>262</v>
      </c>
      <c r="F347" s="162">
        <v>234</v>
      </c>
      <c r="G347" s="10"/>
    </row>
    <row r="348" spans="1:7" s="43" customFormat="1" ht="22.5" customHeight="1" x14ac:dyDescent="0.15">
      <c r="A348" s="182"/>
      <c r="B348" s="19" t="s">
        <v>84</v>
      </c>
      <c r="C348" s="162">
        <v>346</v>
      </c>
      <c r="D348" s="127">
        <v>562</v>
      </c>
      <c r="E348" s="162">
        <v>309</v>
      </c>
      <c r="F348" s="162">
        <v>253</v>
      </c>
      <c r="G348" s="10"/>
    </row>
    <row r="349" spans="1:7" s="43" customFormat="1" ht="22.5" customHeight="1" thickBot="1" x14ac:dyDescent="0.2">
      <c r="A349" s="183"/>
      <c r="B349" s="21" t="s">
        <v>85</v>
      </c>
      <c r="C349" s="126">
        <v>182</v>
      </c>
      <c r="D349" s="127">
        <v>306</v>
      </c>
      <c r="E349" s="126">
        <v>164</v>
      </c>
      <c r="F349" s="126">
        <v>142</v>
      </c>
      <c r="G349" s="15"/>
    </row>
    <row r="350" spans="1:7" s="43" customFormat="1" ht="22.5" customHeight="1" thickTop="1" x14ac:dyDescent="0.15">
      <c r="A350" s="197" t="s">
        <v>288</v>
      </c>
      <c r="B350" s="16" t="s">
        <v>0</v>
      </c>
      <c r="C350" s="124">
        <f>SUM(C351:C379)</f>
        <v>9222</v>
      </c>
      <c r="D350" s="129">
        <f>SUM(D351:D379)</f>
        <v>17048</v>
      </c>
      <c r="E350" s="124">
        <f>SUM(E351:E379)</f>
        <v>8721</v>
      </c>
      <c r="F350" s="124">
        <f>SUM(F351:F379)</f>
        <v>8327</v>
      </c>
      <c r="G350" s="8"/>
    </row>
    <row r="351" spans="1:7" s="43" customFormat="1" ht="22.5" customHeight="1" x14ac:dyDescent="0.15">
      <c r="A351" s="197"/>
      <c r="B351" s="94" t="s">
        <v>86</v>
      </c>
      <c r="C351" s="162">
        <v>79</v>
      </c>
      <c r="D351" s="127">
        <v>148</v>
      </c>
      <c r="E351" s="162">
        <v>80</v>
      </c>
      <c r="F351" s="162">
        <v>68</v>
      </c>
      <c r="G351" s="10"/>
    </row>
    <row r="352" spans="1:7" s="43" customFormat="1" ht="22.5" customHeight="1" x14ac:dyDescent="0.15">
      <c r="A352" s="197"/>
      <c r="B352" s="94" t="s">
        <v>67</v>
      </c>
      <c r="C352" s="162">
        <v>19</v>
      </c>
      <c r="D352" s="127">
        <v>22</v>
      </c>
      <c r="E352" s="162">
        <v>15</v>
      </c>
      <c r="F352" s="162">
        <v>7</v>
      </c>
      <c r="G352" s="10"/>
    </row>
    <row r="353" spans="1:7" s="43" customFormat="1" ht="22.5" customHeight="1" x14ac:dyDescent="0.15">
      <c r="A353" s="197"/>
      <c r="B353" s="94" t="s">
        <v>68</v>
      </c>
      <c r="C353" s="162">
        <v>315</v>
      </c>
      <c r="D353" s="127">
        <v>550</v>
      </c>
      <c r="E353" s="162">
        <v>302</v>
      </c>
      <c r="F353" s="162">
        <v>248</v>
      </c>
      <c r="G353" s="10"/>
    </row>
    <row r="354" spans="1:7" s="43" customFormat="1" ht="22.5" customHeight="1" x14ac:dyDescent="0.15">
      <c r="A354" s="197"/>
      <c r="B354" s="94" t="s">
        <v>69</v>
      </c>
      <c r="C354" s="162">
        <v>158</v>
      </c>
      <c r="D354" s="127">
        <v>252</v>
      </c>
      <c r="E354" s="162">
        <v>130</v>
      </c>
      <c r="F354" s="162">
        <v>122</v>
      </c>
      <c r="G354" s="10"/>
    </row>
    <row r="355" spans="1:7" s="43" customFormat="1" ht="22.5" customHeight="1" x14ac:dyDescent="0.15">
      <c r="A355" s="197"/>
      <c r="B355" s="94" t="s">
        <v>70</v>
      </c>
      <c r="C355" s="162">
        <v>320</v>
      </c>
      <c r="D355" s="127">
        <v>491</v>
      </c>
      <c r="E355" s="162">
        <v>279</v>
      </c>
      <c r="F355" s="162">
        <v>212</v>
      </c>
      <c r="G355" s="10"/>
    </row>
    <row r="356" spans="1:7" s="43" customFormat="1" ht="22.5" customHeight="1" x14ac:dyDescent="0.15">
      <c r="A356" s="197"/>
      <c r="B356" s="94" t="s">
        <v>71</v>
      </c>
      <c r="C356" s="162">
        <v>355</v>
      </c>
      <c r="D356" s="127">
        <v>826</v>
      </c>
      <c r="E356" s="162">
        <v>417</v>
      </c>
      <c r="F356" s="162">
        <v>409</v>
      </c>
      <c r="G356" s="10"/>
    </row>
    <row r="357" spans="1:7" s="43" customFormat="1" ht="22.5" customHeight="1" x14ac:dyDescent="0.15">
      <c r="A357" s="197"/>
      <c r="B357" s="94" t="s">
        <v>72</v>
      </c>
      <c r="C357" s="162">
        <v>160</v>
      </c>
      <c r="D357" s="127">
        <v>261</v>
      </c>
      <c r="E357" s="162">
        <v>128</v>
      </c>
      <c r="F357" s="162">
        <v>133</v>
      </c>
      <c r="G357" s="10"/>
    </row>
    <row r="358" spans="1:7" s="43" customFormat="1" ht="22.5" customHeight="1" x14ac:dyDescent="0.15">
      <c r="A358" s="197"/>
      <c r="B358" s="94" t="s">
        <v>73</v>
      </c>
      <c r="C358" s="162">
        <v>329</v>
      </c>
      <c r="D358" s="127">
        <v>746</v>
      </c>
      <c r="E358" s="162">
        <v>382</v>
      </c>
      <c r="F358" s="162">
        <v>364</v>
      </c>
      <c r="G358" s="10"/>
    </row>
    <row r="359" spans="1:7" s="43" customFormat="1" ht="22.5" customHeight="1" x14ac:dyDescent="0.15">
      <c r="A359" s="197"/>
      <c r="B359" s="94" t="s">
        <v>74</v>
      </c>
      <c r="C359" s="162">
        <v>227</v>
      </c>
      <c r="D359" s="127">
        <v>340</v>
      </c>
      <c r="E359" s="162">
        <v>178</v>
      </c>
      <c r="F359" s="162">
        <v>162</v>
      </c>
      <c r="G359" s="10"/>
    </row>
    <row r="360" spans="1:7" s="43" customFormat="1" ht="22.5" customHeight="1" x14ac:dyDescent="0.15">
      <c r="A360" s="197"/>
      <c r="B360" s="94" t="s">
        <v>75</v>
      </c>
      <c r="C360" s="162">
        <v>257</v>
      </c>
      <c r="D360" s="127">
        <v>362</v>
      </c>
      <c r="E360" s="162">
        <v>206</v>
      </c>
      <c r="F360" s="162">
        <v>156</v>
      </c>
      <c r="G360" s="10"/>
    </row>
    <row r="361" spans="1:7" s="43" customFormat="1" ht="22.5" customHeight="1" x14ac:dyDescent="0.15">
      <c r="A361" s="197"/>
      <c r="B361" s="94" t="s">
        <v>76</v>
      </c>
      <c r="C361" s="162">
        <v>263</v>
      </c>
      <c r="D361" s="127">
        <v>403</v>
      </c>
      <c r="E361" s="162">
        <v>243</v>
      </c>
      <c r="F361" s="162">
        <v>160</v>
      </c>
      <c r="G361" s="10"/>
    </row>
    <row r="362" spans="1:7" s="43" customFormat="1" ht="22.5" customHeight="1" x14ac:dyDescent="0.15">
      <c r="A362" s="197"/>
      <c r="B362" s="94" t="s">
        <v>77</v>
      </c>
      <c r="C362" s="162">
        <v>482</v>
      </c>
      <c r="D362" s="127">
        <v>676</v>
      </c>
      <c r="E362" s="162">
        <v>321</v>
      </c>
      <c r="F362" s="162">
        <v>355</v>
      </c>
      <c r="G362" s="10"/>
    </row>
    <row r="363" spans="1:7" s="43" customFormat="1" ht="22.5" customHeight="1" x14ac:dyDescent="0.15">
      <c r="A363" s="197"/>
      <c r="B363" s="94" t="s">
        <v>78</v>
      </c>
      <c r="C363" s="162">
        <v>232</v>
      </c>
      <c r="D363" s="127">
        <v>311</v>
      </c>
      <c r="E363" s="162">
        <v>185</v>
      </c>
      <c r="F363" s="162">
        <v>126</v>
      </c>
      <c r="G363" s="10"/>
    </row>
    <row r="364" spans="1:7" s="43" customFormat="1" ht="22.5" customHeight="1" x14ac:dyDescent="0.15">
      <c r="A364" s="197"/>
      <c r="B364" s="94" t="s">
        <v>79</v>
      </c>
      <c r="C364" s="162">
        <v>272</v>
      </c>
      <c r="D364" s="127">
        <v>432</v>
      </c>
      <c r="E364" s="162">
        <v>219</v>
      </c>
      <c r="F364" s="162">
        <v>213</v>
      </c>
      <c r="G364" s="10"/>
    </row>
    <row r="365" spans="1:7" s="43" customFormat="1" ht="22.5" customHeight="1" x14ac:dyDescent="0.15">
      <c r="A365" s="197"/>
      <c r="B365" s="95" t="s">
        <v>80</v>
      </c>
      <c r="C365" s="162">
        <v>309</v>
      </c>
      <c r="D365" s="127">
        <v>490</v>
      </c>
      <c r="E365" s="162">
        <v>251</v>
      </c>
      <c r="F365" s="162">
        <v>239</v>
      </c>
      <c r="G365" s="12"/>
    </row>
    <row r="366" spans="1:7" s="43" customFormat="1" ht="22.5" customHeight="1" x14ac:dyDescent="0.15">
      <c r="A366" s="197"/>
      <c r="B366" s="94" t="s">
        <v>81</v>
      </c>
      <c r="C366" s="162">
        <v>344</v>
      </c>
      <c r="D366" s="127">
        <v>627</v>
      </c>
      <c r="E366" s="162">
        <v>298</v>
      </c>
      <c r="F366" s="162">
        <v>329</v>
      </c>
      <c r="G366" s="10"/>
    </row>
    <row r="367" spans="1:7" s="43" customFormat="1" ht="22.5" customHeight="1" x14ac:dyDescent="0.15">
      <c r="A367" s="197"/>
      <c r="B367" s="94" t="s">
        <v>82</v>
      </c>
      <c r="C367" s="162">
        <v>199</v>
      </c>
      <c r="D367" s="127">
        <v>388</v>
      </c>
      <c r="E367" s="162">
        <v>176</v>
      </c>
      <c r="F367" s="162">
        <v>212</v>
      </c>
      <c r="G367" s="10"/>
    </row>
    <row r="368" spans="1:7" s="43" customFormat="1" ht="22.5" customHeight="1" x14ac:dyDescent="0.15">
      <c r="A368" s="197"/>
      <c r="B368" s="94" t="s">
        <v>83</v>
      </c>
      <c r="C368" s="162">
        <v>276</v>
      </c>
      <c r="D368" s="127">
        <v>676</v>
      </c>
      <c r="E368" s="162">
        <v>337</v>
      </c>
      <c r="F368" s="162">
        <v>339</v>
      </c>
      <c r="G368" s="10"/>
    </row>
    <row r="369" spans="1:9" s="43" customFormat="1" ht="22.5" customHeight="1" x14ac:dyDescent="0.15">
      <c r="A369" s="197"/>
      <c r="B369" s="94" t="s">
        <v>84</v>
      </c>
      <c r="C369" s="162">
        <v>260</v>
      </c>
      <c r="D369" s="127">
        <v>509</v>
      </c>
      <c r="E369" s="162">
        <v>274</v>
      </c>
      <c r="F369" s="162">
        <v>235</v>
      </c>
      <c r="G369" s="10"/>
    </row>
    <row r="370" spans="1:9" s="43" customFormat="1" ht="22.5" customHeight="1" x14ac:dyDescent="0.15">
      <c r="A370" s="197"/>
      <c r="B370" s="94" t="s">
        <v>85</v>
      </c>
      <c r="C370" s="162">
        <v>351</v>
      </c>
      <c r="D370" s="127">
        <v>644</v>
      </c>
      <c r="E370" s="162">
        <v>305</v>
      </c>
      <c r="F370" s="162">
        <v>339</v>
      </c>
      <c r="G370" s="10"/>
    </row>
    <row r="371" spans="1:9" s="43" customFormat="1" ht="22.5" customHeight="1" x14ac:dyDescent="0.15">
      <c r="A371" s="197"/>
      <c r="B371" s="94" t="s">
        <v>87</v>
      </c>
      <c r="C371" s="162">
        <v>398</v>
      </c>
      <c r="D371" s="127">
        <v>814</v>
      </c>
      <c r="E371" s="162">
        <v>368</v>
      </c>
      <c r="F371" s="162">
        <v>446</v>
      </c>
      <c r="G371" s="10"/>
    </row>
    <row r="372" spans="1:9" s="43" customFormat="1" ht="22.5" customHeight="1" x14ac:dyDescent="0.15">
      <c r="A372" s="197"/>
      <c r="B372" s="94" t="s">
        <v>88</v>
      </c>
      <c r="C372" s="162">
        <v>323</v>
      </c>
      <c r="D372" s="127">
        <v>429</v>
      </c>
      <c r="E372" s="162">
        <v>270</v>
      </c>
      <c r="F372" s="162">
        <v>159</v>
      </c>
      <c r="G372" s="10"/>
    </row>
    <row r="373" spans="1:9" s="43" customFormat="1" ht="22.5" customHeight="1" x14ac:dyDescent="0.15">
      <c r="A373" s="197"/>
      <c r="B373" s="94" t="s">
        <v>89</v>
      </c>
      <c r="C373" s="162">
        <v>466</v>
      </c>
      <c r="D373" s="127">
        <v>723</v>
      </c>
      <c r="E373" s="162">
        <v>431</v>
      </c>
      <c r="F373" s="162">
        <v>292</v>
      </c>
      <c r="G373" s="10"/>
    </row>
    <row r="374" spans="1:9" s="43" customFormat="1" ht="22.5" customHeight="1" x14ac:dyDescent="0.15">
      <c r="A374" s="197"/>
      <c r="B374" s="96" t="s">
        <v>90</v>
      </c>
      <c r="C374" s="162">
        <v>437</v>
      </c>
      <c r="D374" s="127">
        <v>827</v>
      </c>
      <c r="E374" s="162">
        <v>395</v>
      </c>
      <c r="F374" s="162">
        <v>432</v>
      </c>
      <c r="G374" s="15"/>
    </row>
    <row r="375" spans="1:9" s="43" customFormat="1" ht="22.5" customHeight="1" x14ac:dyDescent="0.15">
      <c r="A375" s="197"/>
      <c r="B375" s="96" t="s">
        <v>91</v>
      </c>
      <c r="C375" s="162">
        <v>496</v>
      </c>
      <c r="D375" s="127">
        <v>959</v>
      </c>
      <c r="E375" s="162">
        <v>434</v>
      </c>
      <c r="F375" s="162">
        <v>525</v>
      </c>
      <c r="G375" s="10"/>
    </row>
    <row r="376" spans="1:9" s="43" customFormat="1" ht="22.5" customHeight="1" x14ac:dyDescent="0.15">
      <c r="A376" s="197"/>
      <c r="B376" s="96" t="s">
        <v>92</v>
      </c>
      <c r="C376" s="162">
        <v>359</v>
      </c>
      <c r="D376" s="127">
        <v>676</v>
      </c>
      <c r="E376" s="162">
        <v>308</v>
      </c>
      <c r="F376" s="162">
        <v>368</v>
      </c>
      <c r="G376" s="15"/>
    </row>
    <row r="377" spans="1:9" s="43" customFormat="1" ht="22.5" customHeight="1" x14ac:dyDescent="0.15">
      <c r="A377" s="197"/>
      <c r="B377" s="96" t="s">
        <v>93</v>
      </c>
      <c r="C377" s="162">
        <v>441</v>
      </c>
      <c r="D377" s="127">
        <v>632</v>
      </c>
      <c r="E377" s="162">
        <v>388</v>
      </c>
      <c r="F377" s="162">
        <v>244</v>
      </c>
      <c r="G377" s="15"/>
    </row>
    <row r="378" spans="1:9" s="43" customFormat="1" ht="22.5" customHeight="1" x14ac:dyDescent="0.15">
      <c r="A378" s="197"/>
      <c r="B378" s="19" t="s">
        <v>94</v>
      </c>
      <c r="C378" s="162">
        <v>639</v>
      </c>
      <c r="D378" s="127">
        <v>1693</v>
      </c>
      <c r="E378" s="162">
        <v>829</v>
      </c>
      <c r="F378" s="162">
        <v>864</v>
      </c>
      <c r="G378" s="10"/>
    </row>
    <row r="379" spans="1:9" s="43" customFormat="1" ht="22.5" customHeight="1" thickBot="1" x14ac:dyDescent="0.2">
      <c r="A379" s="198"/>
      <c r="B379" s="97" t="s">
        <v>95</v>
      </c>
      <c r="C379" s="162">
        <v>456</v>
      </c>
      <c r="D379" s="127">
        <v>1141</v>
      </c>
      <c r="E379" s="162">
        <v>572</v>
      </c>
      <c r="F379" s="162">
        <v>569</v>
      </c>
      <c r="G379" s="25"/>
    </row>
    <row r="380" spans="1:9" s="43" customFormat="1" ht="22.5" customHeight="1" thickTop="1" x14ac:dyDescent="0.15">
      <c r="A380" s="181" t="s">
        <v>289</v>
      </c>
      <c r="B380" s="7" t="s">
        <v>0</v>
      </c>
      <c r="C380" s="124">
        <f>SUM(C381:C409)</f>
        <v>9933</v>
      </c>
      <c r="D380" s="125">
        <f>SUM(D381:D409)</f>
        <v>24213</v>
      </c>
      <c r="E380" s="124">
        <f>SUM(E381:E409)</f>
        <v>12043</v>
      </c>
      <c r="F380" s="124">
        <f>SUM(F381:F409)</f>
        <v>12170</v>
      </c>
      <c r="G380" s="28"/>
      <c r="I380" s="80"/>
    </row>
    <row r="381" spans="1:9" s="43" customFormat="1" ht="22.5" customHeight="1" x14ac:dyDescent="0.15">
      <c r="A381" s="182"/>
      <c r="B381" s="19" t="s">
        <v>86</v>
      </c>
      <c r="C381" s="171">
        <v>380</v>
      </c>
      <c r="D381" s="163">
        <v>596</v>
      </c>
      <c r="E381" s="172">
        <v>321</v>
      </c>
      <c r="F381" s="172">
        <v>275</v>
      </c>
      <c r="G381" s="10"/>
      <c r="I381" s="80"/>
    </row>
    <row r="382" spans="1:9" s="43" customFormat="1" ht="22.5" customHeight="1" x14ac:dyDescent="0.15">
      <c r="A382" s="182"/>
      <c r="B382" s="19" t="s">
        <v>67</v>
      </c>
      <c r="C382" s="171">
        <v>239</v>
      </c>
      <c r="D382" s="163">
        <v>445</v>
      </c>
      <c r="E382" s="172">
        <v>225</v>
      </c>
      <c r="F382" s="172">
        <v>220</v>
      </c>
      <c r="G382" s="10"/>
      <c r="I382" s="80"/>
    </row>
    <row r="383" spans="1:9" s="43" customFormat="1" ht="22.5" customHeight="1" x14ac:dyDescent="0.15">
      <c r="A383" s="182"/>
      <c r="B383" s="19" t="s">
        <v>68</v>
      </c>
      <c r="C383" s="171">
        <v>199</v>
      </c>
      <c r="D383" s="163">
        <v>371</v>
      </c>
      <c r="E383" s="172">
        <v>184</v>
      </c>
      <c r="F383" s="172">
        <v>187</v>
      </c>
      <c r="G383" s="10"/>
    </row>
    <row r="384" spans="1:9" s="43" customFormat="1" ht="22.5" customHeight="1" x14ac:dyDescent="0.15">
      <c r="A384" s="182"/>
      <c r="B384" s="19" t="s">
        <v>69</v>
      </c>
      <c r="C384" s="171">
        <v>450</v>
      </c>
      <c r="D384" s="163">
        <v>759</v>
      </c>
      <c r="E384" s="172">
        <v>408</v>
      </c>
      <c r="F384" s="172">
        <v>351</v>
      </c>
      <c r="G384" s="10"/>
    </row>
    <row r="385" spans="1:7" s="43" customFormat="1" ht="22.5" customHeight="1" x14ac:dyDescent="0.15">
      <c r="A385" s="182"/>
      <c r="B385" s="19" t="s">
        <v>70</v>
      </c>
      <c r="C385" s="171">
        <v>268</v>
      </c>
      <c r="D385" s="163">
        <v>469</v>
      </c>
      <c r="E385" s="172">
        <v>256</v>
      </c>
      <c r="F385" s="172">
        <v>213</v>
      </c>
      <c r="G385" s="10"/>
    </row>
    <row r="386" spans="1:7" s="43" customFormat="1" ht="22.5" customHeight="1" x14ac:dyDescent="0.15">
      <c r="A386" s="182"/>
      <c r="B386" s="19" t="s">
        <v>71</v>
      </c>
      <c r="C386" s="171">
        <v>434</v>
      </c>
      <c r="D386" s="163">
        <v>772</v>
      </c>
      <c r="E386" s="172">
        <v>377</v>
      </c>
      <c r="F386" s="172">
        <v>395</v>
      </c>
      <c r="G386" s="10"/>
    </row>
    <row r="387" spans="1:7" s="43" customFormat="1" ht="22.5" customHeight="1" x14ac:dyDescent="0.15">
      <c r="A387" s="182"/>
      <c r="B387" s="19" t="s">
        <v>72</v>
      </c>
      <c r="C387" s="171">
        <v>266</v>
      </c>
      <c r="D387" s="163">
        <v>473</v>
      </c>
      <c r="E387" s="172">
        <v>225</v>
      </c>
      <c r="F387" s="172">
        <v>248</v>
      </c>
      <c r="G387" s="10"/>
    </row>
    <row r="388" spans="1:7" s="43" customFormat="1" ht="22.5" customHeight="1" x14ac:dyDescent="0.15">
      <c r="A388" s="182"/>
      <c r="B388" s="20" t="s">
        <v>73</v>
      </c>
      <c r="C388" s="171">
        <v>244</v>
      </c>
      <c r="D388" s="163">
        <v>646</v>
      </c>
      <c r="E388" s="172">
        <v>314</v>
      </c>
      <c r="F388" s="172">
        <v>332</v>
      </c>
      <c r="G388" s="12"/>
    </row>
    <row r="389" spans="1:7" s="43" customFormat="1" ht="22.5" customHeight="1" x14ac:dyDescent="0.15">
      <c r="A389" s="182"/>
      <c r="B389" s="19" t="s">
        <v>74</v>
      </c>
      <c r="C389" s="171">
        <v>356</v>
      </c>
      <c r="D389" s="163">
        <v>835</v>
      </c>
      <c r="E389" s="172">
        <v>404</v>
      </c>
      <c r="F389" s="172">
        <v>431</v>
      </c>
      <c r="G389" s="10"/>
    </row>
    <row r="390" spans="1:7" s="43" customFormat="1" ht="22.5" customHeight="1" x14ac:dyDescent="0.15">
      <c r="A390" s="182"/>
      <c r="B390" s="19" t="s">
        <v>75</v>
      </c>
      <c r="C390" s="171">
        <v>97</v>
      </c>
      <c r="D390" s="163">
        <v>150</v>
      </c>
      <c r="E390" s="172">
        <v>77</v>
      </c>
      <c r="F390" s="172">
        <v>73</v>
      </c>
      <c r="G390" s="10"/>
    </row>
    <row r="391" spans="1:7" s="43" customFormat="1" ht="22.5" customHeight="1" x14ac:dyDescent="0.15">
      <c r="A391" s="182"/>
      <c r="B391" s="19" t="s">
        <v>76</v>
      </c>
      <c r="C391" s="171">
        <v>202</v>
      </c>
      <c r="D391" s="163">
        <v>364</v>
      </c>
      <c r="E391" s="172">
        <v>164</v>
      </c>
      <c r="F391" s="172">
        <v>200</v>
      </c>
      <c r="G391" s="10"/>
    </row>
    <row r="392" spans="1:7" s="43" customFormat="1" ht="22.5" customHeight="1" x14ac:dyDescent="0.15">
      <c r="A392" s="182"/>
      <c r="B392" s="19" t="s">
        <v>77</v>
      </c>
      <c r="C392" s="171">
        <v>235</v>
      </c>
      <c r="D392" s="163">
        <v>345</v>
      </c>
      <c r="E392" s="172">
        <v>177</v>
      </c>
      <c r="F392" s="172">
        <v>168</v>
      </c>
      <c r="G392" s="10"/>
    </row>
    <row r="393" spans="1:7" s="43" customFormat="1" ht="22.5" customHeight="1" x14ac:dyDescent="0.15">
      <c r="A393" s="182"/>
      <c r="B393" s="19" t="s">
        <v>78</v>
      </c>
      <c r="C393" s="171">
        <v>638</v>
      </c>
      <c r="D393" s="163">
        <v>1338</v>
      </c>
      <c r="E393" s="172">
        <v>681</v>
      </c>
      <c r="F393" s="221">
        <v>657</v>
      </c>
      <c r="G393" s="10"/>
    </row>
    <row r="394" spans="1:7" s="43" customFormat="1" ht="22.5" customHeight="1" x14ac:dyDescent="0.15">
      <c r="A394" s="182"/>
      <c r="B394" s="19" t="s">
        <v>79</v>
      </c>
      <c r="C394" s="171">
        <v>539</v>
      </c>
      <c r="D394" s="163">
        <v>1078</v>
      </c>
      <c r="E394" s="172">
        <v>556</v>
      </c>
      <c r="F394" s="172">
        <v>522</v>
      </c>
      <c r="G394" s="10"/>
    </row>
    <row r="395" spans="1:7" s="43" customFormat="1" ht="22.5" customHeight="1" x14ac:dyDescent="0.15">
      <c r="A395" s="182"/>
      <c r="B395" s="20" t="s">
        <v>80</v>
      </c>
      <c r="C395" s="171">
        <v>241</v>
      </c>
      <c r="D395" s="163">
        <v>586</v>
      </c>
      <c r="E395" s="172">
        <v>286</v>
      </c>
      <c r="F395" s="172">
        <v>300</v>
      </c>
      <c r="G395" s="12"/>
    </row>
    <row r="396" spans="1:7" s="43" customFormat="1" ht="22.5" customHeight="1" x14ac:dyDescent="0.15">
      <c r="A396" s="182"/>
      <c r="B396" s="19" t="s">
        <v>81</v>
      </c>
      <c r="C396" s="171">
        <v>68</v>
      </c>
      <c r="D396" s="163">
        <v>129</v>
      </c>
      <c r="E396" s="172">
        <v>62</v>
      </c>
      <c r="F396" s="172">
        <v>67</v>
      </c>
      <c r="G396" s="10"/>
    </row>
    <row r="397" spans="1:7" s="43" customFormat="1" ht="22.5" customHeight="1" x14ac:dyDescent="0.15">
      <c r="A397" s="182"/>
      <c r="B397" s="19" t="s">
        <v>82</v>
      </c>
      <c r="C397" s="171">
        <v>398</v>
      </c>
      <c r="D397" s="163">
        <v>1072</v>
      </c>
      <c r="E397" s="172">
        <v>526</v>
      </c>
      <c r="F397" s="172">
        <v>546</v>
      </c>
      <c r="G397" s="10"/>
    </row>
    <row r="398" spans="1:7" s="43" customFormat="1" ht="22.5" customHeight="1" x14ac:dyDescent="0.15">
      <c r="A398" s="182"/>
      <c r="B398" s="19" t="s">
        <v>83</v>
      </c>
      <c r="C398" s="171">
        <v>493</v>
      </c>
      <c r="D398" s="163">
        <v>1467</v>
      </c>
      <c r="E398" s="172">
        <v>719</v>
      </c>
      <c r="F398" s="172">
        <v>748</v>
      </c>
      <c r="G398" s="10"/>
    </row>
    <row r="399" spans="1:7" s="43" customFormat="1" ht="22.5" customHeight="1" x14ac:dyDescent="0.15">
      <c r="A399" s="182"/>
      <c r="B399" s="19" t="s">
        <v>84</v>
      </c>
      <c r="C399" s="171">
        <v>167</v>
      </c>
      <c r="D399" s="163">
        <v>315</v>
      </c>
      <c r="E399" s="172">
        <v>164</v>
      </c>
      <c r="F399" s="172">
        <v>151</v>
      </c>
      <c r="G399" s="10"/>
    </row>
    <row r="400" spans="1:7" s="43" customFormat="1" ht="22.5" customHeight="1" x14ac:dyDescent="0.15">
      <c r="A400" s="182"/>
      <c r="B400" s="19" t="s">
        <v>85</v>
      </c>
      <c r="C400" s="171">
        <v>405</v>
      </c>
      <c r="D400" s="163">
        <v>1187</v>
      </c>
      <c r="E400" s="172">
        <v>580</v>
      </c>
      <c r="F400" s="172">
        <v>607</v>
      </c>
      <c r="G400" s="10"/>
    </row>
    <row r="401" spans="1:7" s="43" customFormat="1" ht="22.5" customHeight="1" x14ac:dyDescent="0.15">
      <c r="A401" s="182"/>
      <c r="B401" s="19" t="s">
        <v>87</v>
      </c>
      <c r="C401" s="171">
        <v>408</v>
      </c>
      <c r="D401" s="163">
        <v>1187</v>
      </c>
      <c r="E401" s="172">
        <v>592</v>
      </c>
      <c r="F401" s="172">
        <v>595</v>
      </c>
      <c r="G401" s="10"/>
    </row>
    <row r="402" spans="1:7" s="43" customFormat="1" ht="22.5" customHeight="1" x14ac:dyDescent="0.15">
      <c r="A402" s="182"/>
      <c r="B402" s="19" t="s">
        <v>88</v>
      </c>
      <c r="C402" s="171">
        <v>612</v>
      </c>
      <c r="D402" s="163">
        <v>1930</v>
      </c>
      <c r="E402" s="172">
        <v>964</v>
      </c>
      <c r="F402" s="172">
        <v>966</v>
      </c>
      <c r="G402" s="10"/>
    </row>
    <row r="403" spans="1:7" s="43" customFormat="1" ht="22.5" customHeight="1" x14ac:dyDescent="0.15">
      <c r="A403" s="182"/>
      <c r="B403" s="19" t="s">
        <v>89</v>
      </c>
      <c r="C403" s="171">
        <v>539</v>
      </c>
      <c r="D403" s="163">
        <v>1700</v>
      </c>
      <c r="E403" s="172">
        <v>827</v>
      </c>
      <c r="F403" s="172">
        <v>873</v>
      </c>
      <c r="G403" s="15"/>
    </row>
    <row r="404" spans="1:7" s="43" customFormat="1" ht="22.5" customHeight="1" x14ac:dyDescent="0.15">
      <c r="A404" s="182"/>
      <c r="B404" s="19" t="s">
        <v>90</v>
      </c>
      <c r="C404" s="171">
        <v>286</v>
      </c>
      <c r="D404" s="163">
        <v>711</v>
      </c>
      <c r="E404" s="172">
        <v>335</v>
      </c>
      <c r="F404" s="172">
        <v>376</v>
      </c>
      <c r="G404" s="15"/>
    </row>
    <row r="405" spans="1:7" s="43" customFormat="1" ht="22.5" customHeight="1" x14ac:dyDescent="0.15">
      <c r="A405" s="182"/>
      <c r="B405" s="19" t="s">
        <v>91</v>
      </c>
      <c r="C405" s="171">
        <v>295</v>
      </c>
      <c r="D405" s="163">
        <v>981</v>
      </c>
      <c r="E405" s="172">
        <v>482</v>
      </c>
      <c r="F405" s="172">
        <v>499</v>
      </c>
      <c r="G405" s="15"/>
    </row>
    <row r="406" spans="1:7" s="43" customFormat="1" ht="22.5" customHeight="1" x14ac:dyDescent="0.15">
      <c r="A406" s="182"/>
      <c r="B406" s="19" t="s">
        <v>92</v>
      </c>
      <c r="C406" s="171">
        <v>207</v>
      </c>
      <c r="D406" s="163">
        <v>713</v>
      </c>
      <c r="E406" s="172">
        <v>341</v>
      </c>
      <c r="F406" s="172">
        <v>372</v>
      </c>
      <c r="G406" s="15"/>
    </row>
    <row r="407" spans="1:7" s="43" customFormat="1" ht="22.5" customHeight="1" x14ac:dyDescent="0.15">
      <c r="A407" s="182"/>
      <c r="B407" s="19" t="s">
        <v>93</v>
      </c>
      <c r="C407" s="171">
        <v>538</v>
      </c>
      <c r="D407" s="163">
        <v>1496</v>
      </c>
      <c r="E407" s="172">
        <v>765</v>
      </c>
      <c r="F407" s="172">
        <v>731</v>
      </c>
      <c r="G407" s="15"/>
    </row>
    <row r="408" spans="1:7" s="43" customFormat="1" ht="22.5" customHeight="1" x14ac:dyDescent="0.15">
      <c r="A408" s="182"/>
      <c r="B408" s="19" t="s">
        <v>783</v>
      </c>
      <c r="C408" s="171">
        <v>371</v>
      </c>
      <c r="D408" s="163">
        <v>1128</v>
      </c>
      <c r="E408" s="172">
        <v>554</v>
      </c>
      <c r="F408" s="172">
        <v>574</v>
      </c>
      <c r="G408" s="15"/>
    </row>
    <row r="409" spans="1:7" s="43" customFormat="1" ht="22.5" customHeight="1" thickBot="1" x14ac:dyDescent="0.2">
      <c r="A409" s="182"/>
      <c r="B409" s="19" t="s">
        <v>784</v>
      </c>
      <c r="C409" s="171">
        <v>358</v>
      </c>
      <c r="D409" s="163">
        <v>970</v>
      </c>
      <c r="E409" s="172">
        <v>477</v>
      </c>
      <c r="F409" s="172">
        <v>493</v>
      </c>
      <c r="G409" s="15"/>
    </row>
    <row r="410" spans="1:7" s="43" customFormat="1" ht="22.5" customHeight="1" thickTop="1" x14ac:dyDescent="0.15">
      <c r="A410" s="180" t="s">
        <v>290</v>
      </c>
      <c r="B410" s="7" t="s">
        <v>0</v>
      </c>
      <c r="C410" s="124">
        <f>SUM(C411:C471)</f>
        <v>19669</v>
      </c>
      <c r="D410" s="125">
        <f>SUM(D411:D471)</f>
        <v>42607</v>
      </c>
      <c r="E410" s="124">
        <f>SUM(E411:E471)</f>
        <v>21921</v>
      </c>
      <c r="F410" s="124">
        <f>SUM(F411:F471)</f>
        <v>20686</v>
      </c>
      <c r="G410" s="8"/>
    </row>
    <row r="411" spans="1:7" s="43" customFormat="1" ht="22.5" customHeight="1" x14ac:dyDescent="0.15">
      <c r="A411" s="182"/>
      <c r="B411" s="20" t="s">
        <v>86</v>
      </c>
      <c r="C411" s="126">
        <v>142</v>
      </c>
      <c r="D411" s="127">
        <v>328</v>
      </c>
      <c r="E411" s="126">
        <v>163</v>
      </c>
      <c r="F411" s="126">
        <v>165</v>
      </c>
      <c r="G411" s="12"/>
    </row>
    <row r="412" spans="1:7" s="43" customFormat="1" ht="22.5" customHeight="1" x14ac:dyDescent="0.15">
      <c r="A412" s="182"/>
      <c r="B412" s="19" t="s">
        <v>67</v>
      </c>
      <c r="C412" s="126">
        <v>199</v>
      </c>
      <c r="D412" s="127">
        <v>519</v>
      </c>
      <c r="E412" s="126">
        <v>246</v>
      </c>
      <c r="F412" s="126">
        <v>273</v>
      </c>
      <c r="G412" s="15"/>
    </row>
    <row r="413" spans="1:7" s="43" customFormat="1" ht="22.5" customHeight="1" x14ac:dyDescent="0.15">
      <c r="A413" s="182"/>
      <c r="B413" s="19" t="s">
        <v>68</v>
      </c>
      <c r="C413" s="126">
        <v>281</v>
      </c>
      <c r="D413" s="127">
        <v>671</v>
      </c>
      <c r="E413" s="126">
        <v>319</v>
      </c>
      <c r="F413" s="126">
        <v>352</v>
      </c>
      <c r="G413" s="10"/>
    </row>
    <row r="414" spans="1:7" s="43" customFormat="1" ht="22.5" customHeight="1" x14ac:dyDescent="0.15">
      <c r="A414" s="182"/>
      <c r="B414" s="19" t="s">
        <v>69</v>
      </c>
      <c r="C414" s="126">
        <v>316</v>
      </c>
      <c r="D414" s="127">
        <v>739</v>
      </c>
      <c r="E414" s="126">
        <v>347</v>
      </c>
      <c r="F414" s="126">
        <v>392</v>
      </c>
      <c r="G414" s="10"/>
    </row>
    <row r="415" spans="1:7" s="43" customFormat="1" ht="22.5" customHeight="1" x14ac:dyDescent="0.15">
      <c r="A415" s="182"/>
      <c r="B415" s="19" t="s">
        <v>70</v>
      </c>
      <c r="C415" s="126">
        <v>274</v>
      </c>
      <c r="D415" s="127">
        <v>646</v>
      </c>
      <c r="E415" s="126">
        <v>317</v>
      </c>
      <c r="F415" s="126">
        <v>329</v>
      </c>
      <c r="G415" s="10"/>
    </row>
    <row r="416" spans="1:7" s="43" customFormat="1" ht="22.5" customHeight="1" x14ac:dyDescent="0.15">
      <c r="A416" s="182"/>
      <c r="B416" s="19" t="s">
        <v>71</v>
      </c>
      <c r="C416" s="126">
        <v>298</v>
      </c>
      <c r="D416" s="127">
        <v>896</v>
      </c>
      <c r="E416" s="126">
        <v>449</v>
      </c>
      <c r="F416" s="126">
        <v>447</v>
      </c>
      <c r="G416" s="10"/>
    </row>
    <row r="417" spans="1:7" s="43" customFormat="1" ht="22.5" customHeight="1" x14ac:dyDescent="0.15">
      <c r="A417" s="182"/>
      <c r="B417" s="19" t="s">
        <v>72</v>
      </c>
      <c r="C417" s="126">
        <v>274</v>
      </c>
      <c r="D417" s="127">
        <v>783</v>
      </c>
      <c r="E417" s="126">
        <v>378</v>
      </c>
      <c r="F417" s="126">
        <v>405</v>
      </c>
      <c r="G417" s="10"/>
    </row>
    <row r="418" spans="1:7" s="43" customFormat="1" ht="22.5" customHeight="1" x14ac:dyDescent="0.15">
      <c r="A418" s="182"/>
      <c r="B418" s="19" t="s">
        <v>73</v>
      </c>
      <c r="C418" s="126">
        <v>239</v>
      </c>
      <c r="D418" s="127">
        <v>526</v>
      </c>
      <c r="E418" s="126">
        <v>260</v>
      </c>
      <c r="F418" s="126">
        <v>266</v>
      </c>
      <c r="G418" s="10"/>
    </row>
    <row r="419" spans="1:7" s="43" customFormat="1" ht="22.5" customHeight="1" x14ac:dyDescent="0.15">
      <c r="A419" s="182"/>
      <c r="B419" s="19" t="s">
        <v>74</v>
      </c>
      <c r="C419" s="126">
        <v>292</v>
      </c>
      <c r="D419" s="127">
        <v>718</v>
      </c>
      <c r="E419" s="126">
        <v>338</v>
      </c>
      <c r="F419" s="126">
        <v>380</v>
      </c>
      <c r="G419" s="10"/>
    </row>
    <row r="420" spans="1:7" s="43" customFormat="1" ht="22.5" customHeight="1" x14ac:dyDescent="0.15">
      <c r="A420" s="182"/>
      <c r="B420" s="19" t="s">
        <v>75</v>
      </c>
      <c r="C420" s="126">
        <v>286</v>
      </c>
      <c r="D420" s="127">
        <v>652</v>
      </c>
      <c r="E420" s="126">
        <v>303</v>
      </c>
      <c r="F420" s="126">
        <v>349</v>
      </c>
      <c r="G420" s="15"/>
    </row>
    <row r="421" spans="1:7" s="43" customFormat="1" ht="22.5" customHeight="1" x14ac:dyDescent="0.15">
      <c r="A421" s="182"/>
      <c r="B421" s="19" t="s">
        <v>76</v>
      </c>
      <c r="C421" s="126">
        <v>366</v>
      </c>
      <c r="D421" s="127">
        <v>976</v>
      </c>
      <c r="E421" s="126">
        <v>478</v>
      </c>
      <c r="F421" s="126">
        <v>498</v>
      </c>
      <c r="G421" s="10"/>
    </row>
    <row r="422" spans="1:7" s="43" customFormat="1" ht="22.5" customHeight="1" x14ac:dyDescent="0.15">
      <c r="A422" s="182"/>
      <c r="B422" s="19" t="s">
        <v>77</v>
      </c>
      <c r="C422" s="126">
        <v>340</v>
      </c>
      <c r="D422" s="127">
        <v>807</v>
      </c>
      <c r="E422" s="126">
        <v>395</v>
      </c>
      <c r="F422" s="126">
        <v>412</v>
      </c>
      <c r="G422" s="10"/>
    </row>
    <row r="423" spans="1:7" s="43" customFormat="1" ht="22.5" customHeight="1" x14ac:dyDescent="0.15">
      <c r="A423" s="182"/>
      <c r="B423" s="19" t="s">
        <v>78</v>
      </c>
      <c r="C423" s="126">
        <v>391</v>
      </c>
      <c r="D423" s="127">
        <v>1077</v>
      </c>
      <c r="E423" s="126">
        <v>542</v>
      </c>
      <c r="F423" s="126">
        <v>535</v>
      </c>
      <c r="G423" s="10"/>
    </row>
    <row r="424" spans="1:7" s="43" customFormat="1" ht="22.5" customHeight="1" x14ac:dyDescent="0.15">
      <c r="A424" s="182"/>
      <c r="B424" s="19" t="s">
        <v>79</v>
      </c>
      <c r="C424" s="126">
        <v>329</v>
      </c>
      <c r="D424" s="127">
        <v>870</v>
      </c>
      <c r="E424" s="126">
        <v>427</v>
      </c>
      <c r="F424" s="126">
        <v>443</v>
      </c>
      <c r="G424" s="10"/>
    </row>
    <row r="425" spans="1:7" s="43" customFormat="1" ht="22.5" customHeight="1" x14ac:dyDescent="0.15">
      <c r="A425" s="182"/>
      <c r="B425" s="19" t="s">
        <v>80</v>
      </c>
      <c r="C425" s="126">
        <v>311</v>
      </c>
      <c r="D425" s="127">
        <v>893</v>
      </c>
      <c r="E425" s="126">
        <v>459</v>
      </c>
      <c r="F425" s="126">
        <v>434</v>
      </c>
      <c r="G425" s="10"/>
    </row>
    <row r="426" spans="1:7" s="43" customFormat="1" ht="22.5" customHeight="1" x14ac:dyDescent="0.15">
      <c r="A426" s="182"/>
      <c r="B426" s="20" t="s">
        <v>81</v>
      </c>
      <c r="C426" s="126">
        <v>337</v>
      </c>
      <c r="D426" s="127">
        <v>837</v>
      </c>
      <c r="E426" s="126">
        <v>410</v>
      </c>
      <c r="F426" s="126">
        <v>427</v>
      </c>
      <c r="G426" s="12"/>
    </row>
    <row r="427" spans="1:7" s="43" customFormat="1" ht="22.5" customHeight="1" x14ac:dyDescent="0.15">
      <c r="A427" s="182"/>
      <c r="B427" s="19" t="s">
        <v>82</v>
      </c>
      <c r="C427" s="126">
        <v>318</v>
      </c>
      <c r="D427" s="127">
        <v>874</v>
      </c>
      <c r="E427" s="126">
        <v>435</v>
      </c>
      <c r="F427" s="126">
        <v>439</v>
      </c>
      <c r="G427" s="10"/>
    </row>
    <row r="428" spans="1:7" s="43" customFormat="1" ht="22.5" customHeight="1" x14ac:dyDescent="0.15">
      <c r="A428" s="182"/>
      <c r="B428" s="19" t="s">
        <v>83</v>
      </c>
      <c r="C428" s="126">
        <v>272</v>
      </c>
      <c r="D428" s="127">
        <v>699</v>
      </c>
      <c r="E428" s="126">
        <v>336</v>
      </c>
      <c r="F428" s="126">
        <v>363</v>
      </c>
      <c r="G428" s="10"/>
    </row>
    <row r="429" spans="1:7" s="43" customFormat="1" ht="22.5" customHeight="1" x14ac:dyDescent="0.15">
      <c r="A429" s="182"/>
      <c r="B429" s="19" t="s">
        <v>84</v>
      </c>
      <c r="C429" s="126">
        <v>270</v>
      </c>
      <c r="D429" s="127">
        <v>831</v>
      </c>
      <c r="E429" s="126">
        <v>410</v>
      </c>
      <c r="F429" s="126">
        <v>421</v>
      </c>
      <c r="G429" s="10"/>
    </row>
    <row r="430" spans="1:7" s="43" customFormat="1" ht="22.5" customHeight="1" x14ac:dyDescent="0.15">
      <c r="A430" s="182"/>
      <c r="B430" s="19" t="s">
        <v>85</v>
      </c>
      <c r="C430" s="126">
        <v>269</v>
      </c>
      <c r="D430" s="127">
        <v>714</v>
      </c>
      <c r="E430" s="126">
        <v>358</v>
      </c>
      <c r="F430" s="126">
        <v>356</v>
      </c>
      <c r="G430" s="15"/>
    </row>
    <row r="431" spans="1:7" s="43" customFormat="1" ht="22.5" customHeight="1" x14ac:dyDescent="0.15">
      <c r="A431" s="182"/>
      <c r="B431" s="19" t="s">
        <v>87</v>
      </c>
      <c r="C431" s="126">
        <v>235</v>
      </c>
      <c r="D431" s="127">
        <v>309</v>
      </c>
      <c r="E431" s="126">
        <v>157</v>
      </c>
      <c r="F431" s="126">
        <v>152</v>
      </c>
      <c r="G431" s="10"/>
    </row>
    <row r="432" spans="1:7" s="43" customFormat="1" ht="22.5" customHeight="1" x14ac:dyDescent="0.15">
      <c r="A432" s="182"/>
      <c r="B432" s="19" t="s">
        <v>88</v>
      </c>
      <c r="C432" s="126">
        <v>349</v>
      </c>
      <c r="D432" s="127">
        <v>491</v>
      </c>
      <c r="E432" s="126">
        <v>241</v>
      </c>
      <c r="F432" s="126">
        <v>250</v>
      </c>
      <c r="G432" s="10"/>
    </row>
    <row r="433" spans="1:7" s="43" customFormat="1" ht="22.5" customHeight="1" x14ac:dyDescent="0.15">
      <c r="A433" s="182"/>
      <c r="B433" s="19" t="s">
        <v>89</v>
      </c>
      <c r="C433" s="126">
        <v>347</v>
      </c>
      <c r="D433" s="127">
        <v>477</v>
      </c>
      <c r="E433" s="126">
        <v>244</v>
      </c>
      <c r="F433" s="126">
        <v>233</v>
      </c>
      <c r="G433" s="10"/>
    </row>
    <row r="434" spans="1:7" s="43" customFormat="1" ht="22.5" customHeight="1" x14ac:dyDescent="0.15">
      <c r="A434" s="182"/>
      <c r="B434" s="19" t="s">
        <v>90</v>
      </c>
      <c r="C434" s="126">
        <v>233</v>
      </c>
      <c r="D434" s="127">
        <v>315</v>
      </c>
      <c r="E434" s="126">
        <v>162</v>
      </c>
      <c r="F434" s="126">
        <v>153</v>
      </c>
      <c r="G434" s="10"/>
    </row>
    <row r="435" spans="1:7" s="43" customFormat="1" ht="22.5" customHeight="1" x14ac:dyDescent="0.15">
      <c r="A435" s="182"/>
      <c r="B435" s="19" t="s">
        <v>91</v>
      </c>
      <c r="C435" s="126">
        <v>378</v>
      </c>
      <c r="D435" s="127">
        <v>552</v>
      </c>
      <c r="E435" s="126">
        <v>297</v>
      </c>
      <c r="F435" s="126">
        <v>255</v>
      </c>
      <c r="G435" s="10"/>
    </row>
    <row r="436" spans="1:7" s="43" customFormat="1" ht="22.5" customHeight="1" x14ac:dyDescent="0.15">
      <c r="A436" s="182"/>
      <c r="B436" s="19" t="s">
        <v>92</v>
      </c>
      <c r="C436" s="126">
        <v>345</v>
      </c>
      <c r="D436" s="127">
        <v>499</v>
      </c>
      <c r="E436" s="126">
        <v>257</v>
      </c>
      <c r="F436" s="126">
        <v>242</v>
      </c>
      <c r="G436" s="10"/>
    </row>
    <row r="437" spans="1:7" s="43" customFormat="1" ht="22.5" customHeight="1" x14ac:dyDescent="0.15">
      <c r="A437" s="182"/>
      <c r="B437" s="19" t="s">
        <v>93</v>
      </c>
      <c r="C437" s="126">
        <v>346</v>
      </c>
      <c r="D437" s="127">
        <v>456</v>
      </c>
      <c r="E437" s="126">
        <v>226</v>
      </c>
      <c r="F437" s="126">
        <v>230</v>
      </c>
      <c r="G437" s="10"/>
    </row>
    <row r="438" spans="1:7" s="43" customFormat="1" ht="22.5" customHeight="1" x14ac:dyDescent="0.15">
      <c r="A438" s="182"/>
      <c r="B438" s="19" t="s">
        <v>94</v>
      </c>
      <c r="C438" s="126">
        <v>219</v>
      </c>
      <c r="D438" s="127">
        <v>294</v>
      </c>
      <c r="E438" s="126">
        <v>143</v>
      </c>
      <c r="F438" s="126">
        <v>151</v>
      </c>
      <c r="G438" s="15"/>
    </row>
    <row r="439" spans="1:7" s="43" customFormat="1" ht="22.5" customHeight="1" x14ac:dyDescent="0.15">
      <c r="A439" s="182"/>
      <c r="B439" s="19" t="s">
        <v>95</v>
      </c>
      <c r="C439" s="126">
        <v>269</v>
      </c>
      <c r="D439" s="127">
        <v>371</v>
      </c>
      <c r="E439" s="126">
        <v>232</v>
      </c>
      <c r="F439" s="126">
        <v>139</v>
      </c>
      <c r="G439" s="15"/>
    </row>
    <row r="440" spans="1:7" s="43" customFormat="1" ht="22.5" customHeight="1" x14ac:dyDescent="0.15">
      <c r="A440" s="182"/>
      <c r="B440" s="19" t="s">
        <v>96</v>
      </c>
      <c r="C440" s="126">
        <v>340</v>
      </c>
      <c r="D440" s="127">
        <v>381</v>
      </c>
      <c r="E440" s="126">
        <v>196</v>
      </c>
      <c r="F440" s="126">
        <v>185</v>
      </c>
      <c r="G440" s="15"/>
    </row>
    <row r="441" spans="1:7" s="43" customFormat="1" ht="22.5" customHeight="1" x14ac:dyDescent="0.15">
      <c r="A441" s="182"/>
      <c r="B441" s="19" t="s">
        <v>97</v>
      </c>
      <c r="C441" s="126">
        <v>48</v>
      </c>
      <c r="D441" s="127">
        <v>99</v>
      </c>
      <c r="E441" s="126">
        <v>61</v>
      </c>
      <c r="F441" s="126">
        <v>38</v>
      </c>
      <c r="G441" s="10"/>
    </row>
    <row r="442" spans="1:7" s="43" customFormat="1" ht="22.5" customHeight="1" x14ac:dyDescent="0.15">
      <c r="A442" s="182"/>
      <c r="B442" s="19" t="s">
        <v>98</v>
      </c>
      <c r="C442" s="126">
        <v>408</v>
      </c>
      <c r="D442" s="127">
        <v>1037</v>
      </c>
      <c r="E442" s="126">
        <v>546</v>
      </c>
      <c r="F442" s="126">
        <v>491</v>
      </c>
      <c r="G442" s="15"/>
    </row>
    <row r="443" spans="1:7" s="43" customFormat="1" ht="22.5" customHeight="1" x14ac:dyDescent="0.15">
      <c r="A443" s="182"/>
      <c r="B443" s="19" t="s">
        <v>99</v>
      </c>
      <c r="C443" s="126">
        <v>173</v>
      </c>
      <c r="D443" s="127">
        <v>387</v>
      </c>
      <c r="E443" s="126">
        <v>202</v>
      </c>
      <c r="F443" s="126">
        <v>185</v>
      </c>
      <c r="G443" s="15"/>
    </row>
    <row r="444" spans="1:7" s="43" customFormat="1" ht="22.5" customHeight="1" x14ac:dyDescent="0.15">
      <c r="A444" s="182"/>
      <c r="B444" s="19" t="s">
        <v>100</v>
      </c>
      <c r="C444" s="126">
        <v>197</v>
      </c>
      <c r="D444" s="127">
        <v>388</v>
      </c>
      <c r="E444" s="126">
        <v>186</v>
      </c>
      <c r="F444" s="126">
        <v>202</v>
      </c>
      <c r="G444" s="15"/>
    </row>
    <row r="445" spans="1:7" s="43" customFormat="1" ht="22.5" customHeight="1" x14ac:dyDescent="0.15">
      <c r="A445" s="182"/>
      <c r="B445" s="19" t="s">
        <v>101</v>
      </c>
      <c r="C445" s="126">
        <v>284</v>
      </c>
      <c r="D445" s="127">
        <v>850</v>
      </c>
      <c r="E445" s="126">
        <v>431</v>
      </c>
      <c r="F445" s="126">
        <v>419</v>
      </c>
      <c r="G445" s="15"/>
    </row>
    <row r="446" spans="1:7" s="43" customFormat="1" ht="22.5" customHeight="1" x14ac:dyDescent="0.15">
      <c r="A446" s="182"/>
      <c r="B446" s="19" t="s">
        <v>102</v>
      </c>
      <c r="C446" s="126">
        <v>281</v>
      </c>
      <c r="D446" s="127">
        <v>898</v>
      </c>
      <c r="E446" s="126">
        <v>440</v>
      </c>
      <c r="F446" s="126">
        <v>458</v>
      </c>
      <c r="G446" s="15"/>
    </row>
    <row r="447" spans="1:7" s="43" customFormat="1" ht="22.5" customHeight="1" x14ac:dyDescent="0.15">
      <c r="A447" s="182"/>
      <c r="B447" s="19" t="s">
        <v>103</v>
      </c>
      <c r="C447" s="126">
        <v>314</v>
      </c>
      <c r="D447" s="127">
        <v>965</v>
      </c>
      <c r="E447" s="126">
        <v>501</v>
      </c>
      <c r="F447" s="126">
        <v>464</v>
      </c>
      <c r="G447" s="15"/>
    </row>
    <row r="448" spans="1:7" s="43" customFormat="1" ht="22.5" customHeight="1" x14ac:dyDescent="0.15">
      <c r="A448" s="182"/>
      <c r="B448" s="19" t="s">
        <v>104</v>
      </c>
      <c r="C448" s="126">
        <v>272</v>
      </c>
      <c r="D448" s="127">
        <v>836</v>
      </c>
      <c r="E448" s="126">
        <v>410</v>
      </c>
      <c r="F448" s="126">
        <v>426</v>
      </c>
      <c r="G448" s="15"/>
    </row>
    <row r="449" spans="1:7" s="43" customFormat="1" ht="22.5" customHeight="1" x14ac:dyDescent="0.15">
      <c r="A449" s="182"/>
      <c r="B449" s="19" t="s">
        <v>105</v>
      </c>
      <c r="C449" s="126">
        <v>299</v>
      </c>
      <c r="D449" s="127">
        <v>893</v>
      </c>
      <c r="E449" s="126">
        <v>438</v>
      </c>
      <c r="F449" s="126">
        <v>455</v>
      </c>
      <c r="G449" s="15"/>
    </row>
    <row r="450" spans="1:7" s="43" customFormat="1" ht="22.5" customHeight="1" x14ac:dyDescent="0.15">
      <c r="A450" s="182"/>
      <c r="B450" s="19" t="s">
        <v>106</v>
      </c>
      <c r="C450" s="126">
        <v>385</v>
      </c>
      <c r="D450" s="127">
        <v>531</v>
      </c>
      <c r="E450" s="126">
        <v>264</v>
      </c>
      <c r="F450" s="126">
        <v>267</v>
      </c>
      <c r="G450" s="15"/>
    </row>
    <row r="451" spans="1:7" s="43" customFormat="1" ht="22.5" customHeight="1" x14ac:dyDescent="0.15">
      <c r="A451" s="182"/>
      <c r="B451" s="19" t="s">
        <v>107</v>
      </c>
      <c r="C451" s="126">
        <v>321</v>
      </c>
      <c r="D451" s="127">
        <v>449</v>
      </c>
      <c r="E451" s="126">
        <v>203</v>
      </c>
      <c r="F451" s="126">
        <v>246</v>
      </c>
      <c r="G451" s="15"/>
    </row>
    <row r="452" spans="1:7" s="43" customFormat="1" ht="22.5" customHeight="1" x14ac:dyDescent="0.15">
      <c r="A452" s="182"/>
      <c r="B452" s="19" t="s">
        <v>108</v>
      </c>
      <c r="C452" s="126">
        <v>386</v>
      </c>
      <c r="D452" s="127">
        <v>532</v>
      </c>
      <c r="E452" s="126">
        <v>264</v>
      </c>
      <c r="F452" s="126">
        <v>268</v>
      </c>
      <c r="G452" s="15"/>
    </row>
    <row r="453" spans="1:7" s="43" customFormat="1" ht="22.5" customHeight="1" x14ac:dyDescent="0.15">
      <c r="A453" s="182"/>
      <c r="B453" s="19" t="s">
        <v>123</v>
      </c>
      <c r="C453" s="126">
        <v>190</v>
      </c>
      <c r="D453" s="127">
        <v>262</v>
      </c>
      <c r="E453" s="126">
        <v>132</v>
      </c>
      <c r="F453" s="126">
        <v>130</v>
      </c>
      <c r="G453" s="15"/>
    </row>
    <row r="454" spans="1:7" s="43" customFormat="1" ht="22.5" customHeight="1" x14ac:dyDescent="0.15">
      <c r="A454" s="182"/>
      <c r="B454" s="19" t="s">
        <v>109</v>
      </c>
      <c r="C454" s="126">
        <v>229</v>
      </c>
      <c r="D454" s="127">
        <v>754</v>
      </c>
      <c r="E454" s="126">
        <v>387</v>
      </c>
      <c r="F454" s="126">
        <v>367</v>
      </c>
      <c r="G454" s="15"/>
    </row>
    <row r="455" spans="1:7" s="43" customFormat="1" ht="22.5" customHeight="1" x14ac:dyDescent="0.15">
      <c r="A455" s="182"/>
      <c r="B455" s="19" t="s">
        <v>110</v>
      </c>
      <c r="C455" s="126">
        <v>404</v>
      </c>
      <c r="D455" s="127">
        <v>1283</v>
      </c>
      <c r="E455" s="126">
        <v>630</v>
      </c>
      <c r="F455" s="126">
        <v>653</v>
      </c>
      <c r="G455" s="15"/>
    </row>
    <row r="456" spans="1:7" s="43" customFormat="1" ht="22.5" customHeight="1" x14ac:dyDescent="0.15">
      <c r="A456" s="182"/>
      <c r="B456" s="19" t="s">
        <v>111</v>
      </c>
      <c r="C456" s="126">
        <v>344</v>
      </c>
      <c r="D456" s="127">
        <v>1141</v>
      </c>
      <c r="E456" s="126">
        <v>575</v>
      </c>
      <c r="F456" s="126">
        <v>566</v>
      </c>
      <c r="G456" s="15"/>
    </row>
    <row r="457" spans="1:7" s="43" customFormat="1" ht="22.5" customHeight="1" x14ac:dyDescent="0.15">
      <c r="A457" s="182"/>
      <c r="B457" s="19" t="s">
        <v>127</v>
      </c>
      <c r="C457" s="126">
        <v>401</v>
      </c>
      <c r="D457" s="127">
        <v>1231</v>
      </c>
      <c r="E457" s="126">
        <v>613</v>
      </c>
      <c r="F457" s="126">
        <v>618</v>
      </c>
      <c r="G457" s="15"/>
    </row>
    <row r="458" spans="1:7" s="43" customFormat="1" ht="22.5" customHeight="1" x14ac:dyDescent="0.15">
      <c r="A458" s="182"/>
      <c r="B458" s="19" t="s">
        <v>128</v>
      </c>
      <c r="C458" s="126">
        <v>371</v>
      </c>
      <c r="D458" s="127">
        <v>1162</v>
      </c>
      <c r="E458" s="126">
        <v>586</v>
      </c>
      <c r="F458" s="126">
        <v>576</v>
      </c>
      <c r="G458" s="15"/>
    </row>
    <row r="459" spans="1:7" s="43" customFormat="1" ht="22.5" customHeight="1" x14ac:dyDescent="0.15">
      <c r="A459" s="182"/>
      <c r="B459" s="19" t="s">
        <v>112</v>
      </c>
      <c r="C459" s="126">
        <v>313</v>
      </c>
      <c r="D459" s="127">
        <v>1001</v>
      </c>
      <c r="E459" s="126">
        <v>503</v>
      </c>
      <c r="F459" s="126">
        <v>498</v>
      </c>
      <c r="G459" s="15"/>
    </row>
    <row r="460" spans="1:7" s="43" customFormat="1" ht="22.5" customHeight="1" x14ac:dyDescent="0.15">
      <c r="A460" s="182"/>
      <c r="B460" s="19" t="s">
        <v>113</v>
      </c>
      <c r="C460" s="126">
        <v>354</v>
      </c>
      <c r="D460" s="127">
        <v>1130</v>
      </c>
      <c r="E460" s="126">
        <v>576</v>
      </c>
      <c r="F460" s="126">
        <v>554</v>
      </c>
      <c r="G460" s="15"/>
    </row>
    <row r="461" spans="1:7" s="43" customFormat="1" ht="22.5" customHeight="1" x14ac:dyDescent="0.15">
      <c r="A461" s="182"/>
      <c r="B461" s="19" t="s">
        <v>114</v>
      </c>
      <c r="C461" s="126">
        <v>602</v>
      </c>
      <c r="D461" s="127">
        <v>870</v>
      </c>
      <c r="E461" s="126">
        <v>558</v>
      </c>
      <c r="F461" s="126">
        <v>312</v>
      </c>
      <c r="G461" s="15"/>
    </row>
    <row r="462" spans="1:7" s="43" customFormat="1" ht="22.5" customHeight="1" x14ac:dyDescent="0.15">
      <c r="A462" s="182"/>
      <c r="B462" s="19" t="s">
        <v>115</v>
      </c>
      <c r="C462" s="126">
        <v>573</v>
      </c>
      <c r="D462" s="127">
        <v>845</v>
      </c>
      <c r="E462" s="126">
        <v>532</v>
      </c>
      <c r="F462" s="126">
        <v>313</v>
      </c>
      <c r="G462" s="15"/>
    </row>
    <row r="463" spans="1:7" s="43" customFormat="1" ht="22.5" customHeight="1" x14ac:dyDescent="0.15">
      <c r="A463" s="182"/>
      <c r="B463" s="19" t="s">
        <v>116</v>
      </c>
      <c r="C463" s="126">
        <v>138</v>
      </c>
      <c r="D463" s="127">
        <v>204</v>
      </c>
      <c r="E463" s="126">
        <v>105</v>
      </c>
      <c r="F463" s="126">
        <v>99</v>
      </c>
      <c r="G463" s="15"/>
    </row>
    <row r="464" spans="1:7" s="43" customFormat="1" ht="22.5" customHeight="1" x14ac:dyDescent="0.15">
      <c r="A464" s="182"/>
      <c r="B464" s="19" t="s">
        <v>117</v>
      </c>
      <c r="C464" s="126">
        <v>284</v>
      </c>
      <c r="D464" s="127">
        <v>614</v>
      </c>
      <c r="E464" s="126">
        <v>307</v>
      </c>
      <c r="F464" s="126">
        <v>307</v>
      </c>
      <c r="G464" s="15"/>
    </row>
    <row r="465" spans="1:7" s="43" customFormat="1" ht="22.5" customHeight="1" x14ac:dyDescent="0.15">
      <c r="A465" s="182"/>
      <c r="B465" s="19" t="s">
        <v>118</v>
      </c>
      <c r="C465" s="126">
        <v>581</v>
      </c>
      <c r="D465" s="127">
        <v>861</v>
      </c>
      <c r="E465" s="126">
        <v>526</v>
      </c>
      <c r="F465" s="126">
        <v>335</v>
      </c>
      <c r="G465" s="15"/>
    </row>
    <row r="466" spans="1:7" s="43" customFormat="1" ht="22.5" customHeight="1" x14ac:dyDescent="0.15">
      <c r="A466" s="182"/>
      <c r="B466" s="19" t="s">
        <v>119</v>
      </c>
      <c r="C466" s="132">
        <v>521</v>
      </c>
      <c r="D466" s="127">
        <v>695</v>
      </c>
      <c r="E466" s="132">
        <v>445</v>
      </c>
      <c r="F466" s="132">
        <v>250</v>
      </c>
      <c r="G466" s="15"/>
    </row>
    <row r="467" spans="1:7" s="43" customFormat="1" ht="22.5" customHeight="1" x14ac:dyDescent="0.15">
      <c r="A467" s="182"/>
      <c r="B467" s="19" t="s">
        <v>120</v>
      </c>
      <c r="C467" s="126">
        <v>485</v>
      </c>
      <c r="D467" s="127">
        <v>686</v>
      </c>
      <c r="E467" s="126">
        <v>438</v>
      </c>
      <c r="F467" s="126">
        <v>248</v>
      </c>
      <c r="G467" s="15"/>
    </row>
    <row r="468" spans="1:7" s="43" customFormat="1" ht="22.5" customHeight="1" x14ac:dyDescent="0.15">
      <c r="A468" s="182"/>
      <c r="B468" s="19" t="s">
        <v>121</v>
      </c>
      <c r="C468" s="126">
        <v>549</v>
      </c>
      <c r="D468" s="127">
        <v>832</v>
      </c>
      <c r="E468" s="126">
        <v>498</v>
      </c>
      <c r="F468" s="126">
        <v>334</v>
      </c>
      <c r="G468" s="15"/>
    </row>
    <row r="469" spans="1:7" s="43" customFormat="1" ht="22.5" customHeight="1" x14ac:dyDescent="0.15">
      <c r="A469" s="182"/>
      <c r="B469" s="19" t="s">
        <v>122</v>
      </c>
      <c r="C469" s="126">
        <v>290</v>
      </c>
      <c r="D469" s="127">
        <v>323</v>
      </c>
      <c r="E469" s="126">
        <v>187</v>
      </c>
      <c r="F469" s="126">
        <v>136</v>
      </c>
      <c r="G469" s="15"/>
    </row>
    <row r="470" spans="1:7" s="43" customFormat="1" ht="22.5" customHeight="1" x14ac:dyDescent="0.15">
      <c r="A470" s="182"/>
      <c r="B470" s="19" t="s">
        <v>449</v>
      </c>
      <c r="C470" s="126">
        <v>451</v>
      </c>
      <c r="D470" s="127">
        <v>900</v>
      </c>
      <c r="E470" s="126">
        <v>480</v>
      </c>
      <c r="F470" s="126">
        <v>420</v>
      </c>
      <c r="G470" s="15"/>
    </row>
    <row r="471" spans="1:7" s="43" customFormat="1" ht="22.5" customHeight="1" thickBot="1" x14ac:dyDescent="0.2">
      <c r="A471" s="183"/>
      <c r="B471" s="24" t="s">
        <v>450</v>
      </c>
      <c r="C471" s="133">
        <v>356</v>
      </c>
      <c r="D471" s="127">
        <v>747</v>
      </c>
      <c r="E471" s="133">
        <v>372</v>
      </c>
      <c r="F471" s="133">
        <v>375</v>
      </c>
      <c r="G471" s="25"/>
    </row>
    <row r="472" spans="1:7" s="43" customFormat="1" ht="22.5" customHeight="1" thickTop="1" x14ac:dyDescent="0.15">
      <c r="A472" s="180" t="s">
        <v>291</v>
      </c>
      <c r="B472" s="29" t="s">
        <v>0</v>
      </c>
      <c r="C472" s="134">
        <f>SUM(C473:C541)</f>
        <v>24861</v>
      </c>
      <c r="D472" s="125">
        <f t="shared" ref="D472:F472" si="2">SUM(D473:D541)</f>
        <v>59960</v>
      </c>
      <c r="E472" s="134">
        <f t="shared" si="2"/>
        <v>29938</v>
      </c>
      <c r="F472" s="134">
        <f t="shared" si="2"/>
        <v>30022</v>
      </c>
      <c r="G472" s="28"/>
    </row>
    <row r="473" spans="1:7" s="43" customFormat="1" ht="22.5" customHeight="1" x14ac:dyDescent="0.15">
      <c r="A473" s="181"/>
      <c r="B473" s="19" t="s">
        <v>86</v>
      </c>
      <c r="C473" s="166">
        <v>276</v>
      </c>
      <c r="D473" s="223">
        <v>438</v>
      </c>
      <c r="E473" s="166">
        <v>238</v>
      </c>
      <c r="F473" s="166">
        <v>200</v>
      </c>
      <c r="G473" s="10"/>
    </row>
    <row r="474" spans="1:7" s="43" customFormat="1" ht="22.5" customHeight="1" x14ac:dyDescent="0.15">
      <c r="A474" s="181"/>
      <c r="B474" s="19" t="s">
        <v>67</v>
      </c>
      <c r="C474" s="166">
        <v>67</v>
      </c>
      <c r="D474" s="223">
        <v>116</v>
      </c>
      <c r="E474" s="166">
        <v>52</v>
      </c>
      <c r="F474" s="166">
        <v>64</v>
      </c>
      <c r="G474" s="10"/>
    </row>
    <row r="475" spans="1:7" s="43" customFormat="1" ht="22.5" customHeight="1" x14ac:dyDescent="0.15">
      <c r="A475" s="181"/>
      <c r="B475" s="19" t="s">
        <v>68</v>
      </c>
      <c r="C475" s="166">
        <v>35</v>
      </c>
      <c r="D475" s="223">
        <v>66</v>
      </c>
      <c r="E475" s="166">
        <v>32</v>
      </c>
      <c r="F475" s="166">
        <v>34</v>
      </c>
      <c r="G475" s="10"/>
    </row>
    <row r="476" spans="1:7" s="43" customFormat="1" ht="22.5" customHeight="1" x14ac:dyDescent="0.15">
      <c r="A476" s="181"/>
      <c r="B476" s="20" t="s">
        <v>69</v>
      </c>
      <c r="C476" s="166">
        <v>446</v>
      </c>
      <c r="D476" s="223">
        <v>1084</v>
      </c>
      <c r="E476" s="166">
        <v>506</v>
      </c>
      <c r="F476" s="166">
        <v>578</v>
      </c>
      <c r="G476" s="12"/>
    </row>
    <row r="477" spans="1:7" s="43" customFormat="1" ht="22.5" customHeight="1" x14ac:dyDescent="0.15">
      <c r="A477" s="181"/>
      <c r="B477" s="19" t="s">
        <v>70</v>
      </c>
      <c r="C477" s="166">
        <v>495</v>
      </c>
      <c r="D477" s="223">
        <v>1236</v>
      </c>
      <c r="E477" s="166">
        <v>618</v>
      </c>
      <c r="F477" s="166">
        <v>618</v>
      </c>
      <c r="G477" s="15"/>
    </row>
    <row r="478" spans="1:7" s="43" customFormat="1" ht="22.5" customHeight="1" x14ac:dyDescent="0.15">
      <c r="A478" s="181"/>
      <c r="B478" s="19" t="s">
        <v>71</v>
      </c>
      <c r="C478" s="166">
        <v>461</v>
      </c>
      <c r="D478" s="223">
        <v>1162</v>
      </c>
      <c r="E478" s="166">
        <v>585</v>
      </c>
      <c r="F478" s="166">
        <v>577</v>
      </c>
      <c r="G478" s="15"/>
    </row>
    <row r="479" spans="1:7" s="43" customFormat="1" ht="22.5" customHeight="1" x14ac:dyDescent="0.15">
      <c r="A479" s="181"/>
      <c r="B479" s="19" t="s">
        <v>72</v>
      </c>
      <c r="C479" s="166">
        <v>516</v>
      </c>
      <c r="D479" s="223">
        <v>1093</v>
      </c>
      <c r="E479" s="166">
        <v>504</v>
      </c>
      <c r="F479" s="166">
        <v>589</v>
      </c>
      <c r="G479" s="10"/>
    </row>
    <row r="480" spans="1:7" s="43" customFormat="1" ht="22.5" customHeight="1" x14ac:dyDescent="0.15">
      <c r="A480" s="181"/>
      <c r="B480" s="20" t="s">
        <v>73</v>
      </c>
      <c r="C480" s="166">
        <v>116</v>
      </c>
      <c r="D480" s="223">
        <v>210</v>
      </c>
      <c r="E480" s="166">
        <v>109</v>
      </c>
      <c r="F480" s="166">
        <v>101</v>
      </c>
      <c r="G480" s="23"/>
    </row>
    <row r="481" spans="1:7" s="43" customFormat="1" ht="22.5" customHeight="1" x14ac:dyDescent="0.15">
      <c r="A481" s="181"/>
      <c r="B481" s="19" t="s">
        <v>74</v>
      </c>
      <c r="C481" s="166">
        <v>158</v>
      </c>
      <c r="D481" s="223">
        <v>291</v>
      </c>
      <c r="E481" s="166">
        <v>138</v>
      </c>
      <c r="F481" s="166">
        <v>153</v>
      </c>
      <c r="G481" s="15"/>
    </row>
    <row r="482" spans="1:7" s="43" customFormat="1" ht="22.5" customHeight="1" x14ac:dyDescent="0.15">
      <c r="A482" s="181"/>
      <c r="B482" s="19" t="s">
        <v>75</v>
      </c>
      <c r="C482" s="166">
        <v>85</v>
      </c>
      <c r="D482" s="223">
        <v>128</v>
      </c>
      <c r="E482" s="166">
        <v>82</v>
      </c>
      <c r="F482" s="166">
        <v>46</v>
      </c>
      <c r="G482" s="15"/>
    </row>
    <row r="483" spans="1:7" s="43" customFormat="1" ht="22.5" customHeight="1" x14ac:dyDescent="0.15">
      <c r="A483" s="181"/>
      <c r="B483" s="19" t="s">
        <v>76</v>
      </c>
      <c r="C483" s="166">
        <v>184</v>
      </c>
      <c r="D483" s="223">
        <v>294</v>
      </c>
      <c r="E483" s="166">
        <v>164</v>
      </c>
      <c r="F483" s="166">
        <v>130</v>
      </c>
      <c r="G483" s="15"/>
    </row>
    <row r="484" spans="1:7" s="43" customFormat="1" ht="22.5" customHeight="1" x14ac:dyDescent="0.15">
      <c r="A484" s="181"/>
      <c r="B484" s="19" t="s">
        <v>77</v>
      </c>
      <c r="C484" s="166">
        <v>325</v>
      </c>
      <c r="D484" s="223">
        <v>553</v>
      </c>
      <c r="E484" s="166">
        <v>292</v>
      </c>
      <c r="F484" s="166">
        <v>261</v>
      </c>
      <c r="G484" s="15"/>
    </row>
    <row r="485" spans="1:7" s="43" customFormat="1" ht="22.5" customHeight="1" x14ac:dyDescent="0.15">
      <c r="A485" s="181"/>
      <c r="B485" s="19" t="s">
        <v>78</v>
      </c>
      <c r="C485" s="166">
        <v>301</v>
      </c>
      <c r="D485" s="223">
        <v>527</v>
      </c>
      <c r="E485" s="166">
        <v>261</v>
      </c>
      <c r="F485" s="166">
        <v>266</v>
      </c>
      <c r="G485" s="15"/>
    </row>
    <row r="486" spans="1:7" s="43" customFormat="1" ht="22.5" customHeight="1" x14ac:dyDescent="0.15">
      <c r="A486" s="181"/>
      <c r="B486" s="19" t="s">
        <v>79</v>
      </c>
      <c r="C486" s="166">
        <v>439</v>
      </c>
      <c r="D486" s="223">
        <v>806</v>
      </c>
      <c r="E486" s="166">
        <v>407</v>
      </c>
      <c r="F486" s="166">
        <v>399</v>
      </c>
      <c r="G486" s="15"/>
    </row>
    <row r="487" spans="1:7" s="43" customFormat="1" ht="22.5" customHeight="1" x14ac:dyDescent="0.15">
      <c r="A487" s="181"/>
      <c r="B487" s="19" t="s">
        <v>80</v>
      </c>
      <c r="C487" s="166">
        <v>537</v>
      </c>
      <c r="D487" s="223">
        <v>1446</v>
      </c>
      <c r="E487" s="166">
        <v>682</v>
      </c>
      <c r="F487" s="166">
        <v>764</v>
      </c>
      <c r="G487" s="15"/>
    </row>
    <row r="488" spans="1:7" s="43" customFormat="1" ht="22.5" customHeight="1" x14ac:dyDescent="0.15">
      <c r="A488" s="181"/>
      <c r="B488" s="19" t="s">
        <v>81</v>
      </c>
      <c r="C488" s="166">
        <v>484</v>
      </c>
      <c r="D488" s="223">
        <v>1289</v>
      </c>
      <c r="E488" s="166">
        <v>623</v>
      </c>
      <c r="F488" s="166">
        <v>666</v>
      </c>
      <c r="G488" s="15"/>
    </row>
    <row r="489" spans="1:7" s="43" customFormat="1" ht="22.5" customHeight="1" x14ac:dyDescent="0.15">
      <c r="A489" s="181"/>
      <c r="B489" s="19" t="s">
        <v>82</v>
      </c>
      <c r="C489" s="166">
        <v>363</v>
      </c>
      <c r="D489" s="223">
        <v>1168</v>
      </c>
      <c r="E489" s="166">
        <v>563</v>
      </c>
      <c r="F489" s="166">
        <v>605</v>
      </c>
      <c r="G489" s="15"/>
    </row>
    <row r="490" spans="1:7" s="43" customFormat="1" ht="22.5" customHeight="1" x14ac:dyDescent="0.15">
      <c r="A490" s="181"/>
      <c r="B490" s="19" t="s">
        <v>83</v>
      </c>
      <c r="C490" s="166">
        <v>349</v>
      </c>
      <c r="D490" s="223">
        <v>1094</v>
      </c>
      <c r="E490" s="166">
        <v>555</v>
      </c>
      <c r="F490" s="166">
        <v>539</v>
      </c>
      <c r="G490" s="15"/>
    </row>
    <row r="491" spans="1:7" s="43" customFormat="1" ht="22.5" customHeight="1" x14ac:dyDescent="0.15">
      <c r="A491" s="181"/>
      <c r="B491" s="19" t="s">
        <v>84</v>
      </c>
      <c r="C491" s="166">
        <v>217</v>
      </c>
      <c r="D491" s="223">
        <v>375</v>
      </c>
      <c r="E491" s="166">
        <v>218</v>
      </c>
      <c r="F491" s="166">
        <v>157</v>
      </c>
      <c r="G491" s="15"/>
    </row>
    <row r="492" spans="1:7" s="43" customFormat="1" ht="22.5" customHeight="1" x14ac:dyDescent="0.15">
      <c r="A492" s="181"/>
      <c r="B492" s="19" t="s">
        <v>85</v>
      </c>
      <c r="C492" s="166">
        <v>305</v>
      </c>
      <c r="D492" s="223">
        <v>567</v>
      </c>
      <c r="E492" s="166">
        <v>282</v>
      </c>
      <c r="F492" s="166">
        <v>285</v>
      </c>
      <c r="G492" s="15"/>
    </row>
    <row r="493" spans="1:7" s="43" customFormat="1" ht="22.5" customHeight="1" x14ac:dyDescent="0.15">
      <c r="A493" s="181"/>
      <c r="B493" s="19" t="s">
        <v>87</v>
      </c>
      <c r="C493" s="166">
        <v>263</v>
      </c>
      <c r="D493" s="223">
        <v>576</v>
      </c>
      <c r="E493" s="166">
        <v>275</v>
      </c>
      <c r="F493" s="166">
        <v>301</v>
      </c>
      <c r="G493" s="15"/>
    </row>
    <row r="494" spans="1:7" s="43" customFormat="1" ht="22.5" customHeight="1" x14ac:dyDescent="0.15">
      <c r="A494" s="181"/>
      <c r="B494" s="19" t="s">
        <v>88</v>
      </c>
      <c r="C494" s="166">
        <v>76</v>
      </c>
      <c r="D494" s="223">
        <v>130</v>
      </c>
      <c r="E494" s="166">
        <v>72</v>
      </c>
      <c r="F494" s="166">
        <v>58</v>
      </c>
      <c r="G494" s="15"/>
    </row>
    <row r="495" spans="1:7" s="43" customFormat="1" ht="22.5" customHeight="1" x14ac:dyDescent="0.15">
      <c r="A495" s="181"/>
      <c r="B495" s="19" t="s">
        <v>89</v>
      </c>
      <c r="C495" s="166">
        <v>238</v>
      </c>
      <c r="D495" s="223">
        <v>407</v>
      </c>
      <c r="E495" s="166">
        <v>205</v>
      </c>
      <c r="F495" s="166">
        <v>202</v>
      </c>
      <c r="G495" s="15"/>
    </row>
    <row r="496" spans="1:7" s="43" customFormat="1" ht="22.5" customHeight="1" x14ac:dyDescent="0.15">
      <c r="A496" s="181"/>
      <c r="B496" s="19" t="s">
        <v>90</v>
      </c>
      <c r="C496" s="166">
        <v>95</v>
      </c>
      <c r="D496" s="223">
        <v>130</v>
      </c>
      <c r="E496" s="166">
        <v>59</v>
      </c>
      <c r="F496" s="166">
        <v>71</v>
      </c>
      <c r="G496" s="15"/>
    </row>
    <row r="497" spans="1:7" s="43" customFormat="1" ht="22.5" customHeight="1" x14ac:dyDescent="0.15">
      <c r="A497" s="181"/>
      <c r="B497" s="21" t="s">
        <v>91</v>
      </c>
      <c r="C497" s="166">
        <v>114</v>
      </c>
      <c r="D497" s="223">
        <v>211</v>
      </c>
      <c r="E497" s="166">
        <v>106</v>
      </c>
      <c r="F497" s="166">
        <v>105</v>
      </c>
      <c r="G497" s="15"/>
    </row>
    <row r="498" spans="1:7" s="43" customFormat="1" ht="22.5" customHeight="1" x14ac:dyDescent="0.15">
      <c r="A498" s="181"/>
      <c r="B498" s="19" t="s">
        <v>92</v>
      </c>
      <c r="C498" s="166">
        <v>35</v>
      </c>
      <c r="D498" s="223">
        <v>79</v>
      </c>
      <c r="E498" s="166">
        <v>41</v>
      </c>
      <c r="F498" s="166">
        <v>38</v>
      </c>
      <c r="G498" s="10"/>
    </row>
    <row r="499" spans="1:7" s="43" customFormat="1" ht="22.5" customHeight="1" x14ac:dyDescent="0.15">
      <c r="A499" s="181"/>
      <c r="B499" s="19" t="s">
        <v>93</v>
      </c>
      <c r="C499" s="166">
        <v>128</v>
      </c>
      <c r="D499" s="223">
        <v>207</v>
      </c>
      <c r="E499" s="166">
        <v>120</v>
      </c>
      <c r="F499" s="166">
        <v>87</v>
      </c>
      <c r="G499" s="15"/>
    </row>
    <row r="500" spans="1:7" s="43" customFormat="1" ht="22.5" customHeight="1" x14ac:dyDescent="0.15">
      <c r="A500" s="181"/>
      <c r="B500" s="21" t="s">
        <v>94</v>
      </c>
      <c r="C500" s="166">
        <v>71</v>
      </c>
      <c r="D500" s="223">
        <v>110</v>
      </c>
      <c r="E500" s="166">
        <v>63</v>
      </c>
      <c r="F500" s="166">
        <v>47</v>
      </c>
      <c r="G500" s="15"/>
    </row>
    <row r="501" spans="1:7" s="43" customFormat="1" ht="22.5" customHeight="1" x14ac:dyDescent="0.15">
      <c r="A501" s="181"/>
      <c r="B501" s="19" t="s">
        <v>95</v>
      </c>
      <c r="C501" s="166">
        <v>73</v>
      </c>
      <c r="D501" s="223">
        <v>128</v>
      </c>
      <c r="E501" s="166">
        <v>62</v>
      </c>
      <c r="F501" s="166">
        <v>66</v>
      </c>
      <c r="G501" s="10"/>
    </row>
    <row r="502" spans="1:7" s="43" customFormat="1" ht="22.5" customHeight="1" x14ac:dyDescent="0.15">
      <c r="A502" s="181"/>
      <c r="B502" s="19" t="s">
        <v>96</v>
      </c>
      <c r="C502" s="166">
        <v>465</v>
      </c>
      <c r="D502" s="223">
        <v>1180</v>
      </c>
      <c r="E502" s="166">
        <v>558</v>
      </c>
      <c r="F502" s="166">
        <v>622</v>
      </c>
      <c r="G502" s="10"/>
    </row>
    <row r="503" spans="1:7" s="43" customFormat="1" ht="22.5" customHeight="1" x14ac:dyDescent="0.15">
      <c r="A503" s="181"/>
      <c r="B503" s="19" t="s">
        <v>97</v>
      </c>
      <c r="C503" s="166">
        <v>417</v>
      </c>
      <c r="D503" s="223">
        <v>1101</v>
      </c>
      <c r="E503" s="166">
        <v>531</v>
      </c>
      <c r="F503" s="166">
        <v>570</v>
      </c>
      <c r="G503" s="10"/>
    </row>
    <row r="504" spans="1:7" s="43" customFormat="1" ht="22.5" customHeight="1" x14ac:dyDescent="0.15">
      <c r="A504" s="181"/>
      <c r="B504" s="19" t="s">
        <v>98</v>
      </c>
      <c r="C504" s="166">
        <v>459</v>
      </c>
      <c r="D504" s="223">
        <v>1329</v>
      </c>
      <c r="E504" s="166">
        <v>658</v>
      </c>
      <c r="F504" s="166">
        <v>671</v>
      </c>
      <c r="G504" s="15"/>
    </row>
    <row r="505" spans="1:7" s="43" customFormat="1" ht="22.5" customHeight="1" x14ac:dyDescent="0.15">
      <c r="A505" s="181"/>
      <c r="B505" s="19" t="s">
        <v>99</v>
      </c>
      <c r="C505" s="166">
        <v>436</v>
      </c>
      <c r="D505" s="223">
        <v>1264</v>
      </c>
      <c r="E505" s="166">
        <v>618</v>
      </c>
      <c r="F505" s="166">
        <v>646</v>
      </c>
      <c r="G505" s="15"/>
    </row>
    <row r="506" spans="1:7" s="43" customFormat="1" ht="22.5" customHeight="1" x14ac:dyDescent="0.15">
      <c r="A506" s="181"/>
      <c r="B506" s="19" t="s">
        <v>100</v>
      </c>
      <c r="C506" s="166">
        <v>234</v>
      </c>
      <c r="D506" s="223">
        <v>617</v>
      </c>
      <c r="E506" s="166">
        <v>305</v>
      </c>
      <c r="F506" s="166">
        <v>312</v>
      </c>
      <c r="G506" s="15"/>
    </row>
    <row r="507" spans="1:7" s="43" customFormat="1" ht="22.5" customHeight="1" x14ac:dyDescent="0.15">
      <c r="A507" s="181"/>
      <c r="B507" s="19" t="s">
        <v>101</v>
      </c>
      <c r="C507" s="166">
        <v>191</v>
      </c>
      <c r="D507" s="223">
        <v>568</v>
      </c>
      <c r="E507" s="166">
        <v>280</v>
      </c>
      <c r="F507" s="166">
        <v>288</v>
      </c>
      <c r="G507" s="15"/>
    </row>
    <row r="508" spans="1:7" s="43" customFormat="1" ht="22.5" customHeight="1" x14ac:dyDescent="0.15">
      <c r="A508" s="181"/>
      <c r="B508" s="19" t="s">
        <v>102</v>
      </c>
      <c r="C508" s="166">
        <v>315</v>
      </c>
      <c r="D508" s="223">
        <v>390</v>
      </c>
      <c r="E508" s="166">
        <v>160</v>
      </c>
      <c r="F508" s="166">
        <v>230</v>
      </c>
      <c r="G508" s="15"/>
    </row>
    <row r="509" spans="1:7" s="43" customFormat="1" ht="22.5" customHeight="1" x14ac:dyDescent="0.15">
      <c r="A509" s="181"/>
      <c r="B509" s="19" t="s">
        <v>103</v>
      </c>
      <c r="C509" s="166">
        <v>379</v>
      </c>
      <c r="D509" s="223">
        <v>715</v>
      </c>
      <c r="E509" s="166">
        <v>317</v>
      </c>
      <c r="F509" s="166">
        <v>398</v>
      </c>
      <c r="G509" s="15"/>
    </row>
    <row r="510" spans="1:7" s="43" customFormat="1" ht="22.5" customHeight="1" x14ac:dyDescent="0.15">
      <c r="A510" s="181"/>
      <c r="B510" s="19" t="s">
        <v>104</v>
      </c>
      <c r="C510" s="166">
        <v>332</v>
      </c>
      <c r="D510" s="223">
        <v>490</v>
      </c>
      <c r="E510" s="166">
        <v>203</v>
      </c>
      <c r="F510" s="166">
        <v>287</v>
      </c>
      <c r="G510" s="15"/>
    </row>
    <row r="511" spans="1:7" s="43" customFormat="1" ht="22.5" customHeight="1" x14ac:dyDescent="0.15">
      <c r="A511" s="181"/>
      <c r="B511" s="19" t="s">
        <v>105</v>
      </c>
      <c r="C511" s="166">
        <v>314</v>
      </c>
      <c r="D511" s="223">
        <v>533</v>
      </c>
      <c r="E511" s="166">
        <v>237</v>
      </c>
      <c r="F511" s="166">
        <v>296</v>
      </c>
      <c r="G511" s="15"/>
    </row>
    <row r="512" spans="1:7" s="43" customFormat="1" ht="22.5" customHeight="1" x14ac:dyDescent="0.15">
      <c r="A512" s="181"/>
      <c r="B512" s="19" t="s">
        <v>106</v>
      </c>
      <c r="C512" s="166">
        <v>496</v>
      </c>
      <c r="D512" s="223">
        <v>1390</v>
      </c>
      <c r="E512" s="166">
        <v>686</v>
      </c>
      <c r="F512" s="166">
        <v>704</v>
      </c>
      <c r="G512" s="15"/>
    </row>
    <row r="513" spans="1:7" s="43" customFormat="1" ht="24" customHeight="1" x14ac:dyDescent="0.15">
      <c r="A513" s="181"/>
      <c r="B513" s="19" t="s">
        <v>107</v>
      </c>
      <c r="C513" s="166">
        <v>579</v>
      </c>
      <c r="D513" s="223">
        <v>1706</v>
      </c>
      <c r="E513" s="166">
        <v>857</v>
      </c>
      <c r="F513" s="166">
        <v>849</v>
      </c>
      <c r="G513" s="15"/>
    </row>
    <row r="514" spans="1:7" s="43" customFormat="1" ht="24" customHeight="1" x14ac:dyDescent="0.15">
      <c r="A514" s="181"/>
      <c r="B514" s="19" t="s">
        <v>108</v>
      </c>
      <c r="C514" s="166">
        <v>574</v>
      </c>
      <c r="D514" s="223">
        <v>1659</v>
      </c>
      <c r="E514" s="166">
        <v>829</v>
      </c>
      <c r="F514" s="166">
        <v>830</v>
      </c>
      <c r="G514" s="15"/>
    </row>
    <row r="515" spans="1:7" s="43" customFormat="1" ht="24" customHeight="1" x14ac:dyDescent="0.15">
      <c r="A515" s="181"/>
      <c r="B515" s="19" t="s">
        <v>123</v>
      </c>
      <c r="C515" s="166">
        <v>455</v>
      </c>
      <c r="D515" s="223">
        <v>1385</v>
      </c>
      <c r="E515" s="166">
        <v>686</v>
      </c>
      <c r="F515" s="166">
        <v>699</v>
      </c>
      <c r="G515" s="15"/>
    </row>
    <row r="516" spans="1:7" s="43" customFormat="1" ht="24" customHeight="1" x14ac:dyDescent="0.15">
      <c r="A516" s="181"/>
      <c r="B516" s="19" t="s">
        <v>109</v>
      </c>
      <c r="C516" s="166">
        <v>224</v>
      </c>
      <c r="D516" s="223">
        <v>678</v>
      </c>
      <c r="E516" s="166">
        <v>339</v>
      </c>
      <c r="F516" s="166">
        <v>339</v>
      </c>
      <c r="G516" s="15"/>
    </row>
    <row r="517" spans="1:7" s="43" customFormat="1" ht="24" customHeight="1" x14ac:dyDescent="0.15">
      <c r="A517" s="181"/>
      <c r="B517" s="19" t="s">
        <v>110</v>
      </c>
      <c r="C517" s="166">
        <v>484</v>
      </c>
      <c r="D517" s="223">
        <v>1530</v>
      </c>
      <c r="E517" s="166">
        <v>751</v>
      </c>
      <c r="F517" s="166">
        <v>779</v>
      </c>
      <c r="G517" s="15"/>
    </row>
    <row r="518" spans="1:7" s="43" customFormat="1" ht="24" customHeight="1" x14ac:dyDescent="0.15">
      <c r="A518" s="181"/>
      <c r="B518" s="19" t="s">
        <v>111</v>
      </c>
      <c r="C518" s="166">
        <v>501</v>
      </c>
      <c r="D518" s="223">
        <v>1599</v>
      </c>
      <c r="E518" s="166">
        <v>795</v>
      </c>
      <c r="F518" s="166">
        <v>804</v>
      </c>
      <c r="G518" s="15"/>
    </row>
    <row r="519" spans="1:7" s="43" customFormat="1" ht="24" customHeight="1" x14ac:dyDescent="0.15">
      <c r="A519" s="181"/>
      <c r="B519" s="19" t="s">
        <v>127</v>
      </c>
      <c r="C519" s="166">
        <v>445</v>
      </c>
      <c r="D519" s="223">
        <v>1254</v>
      </c>
      <c r="E519" s="166">
        <v>623</v>
      </c>
      <c r="F519" s="166">
        <v>631</v>
      </c>
      <c r="G519" s="15"/>
    </row>
    <row r="520" spans="1:7" s="43" customFormat="1" ht="24" customHeight="1" x14ac:dyDescent="0.15">
      <c r="A520" s="181"/>
      <c r="B520" s="19" t="s">
        <v>128</v>
      </c>
      <c r="C520" s="166">
        <v>363</v>
      </c>
      <c r="D520" s="223">
        <v>526</v>
      </c>
      <c r="E520" s="166">
        <v>319</v>
      </c>
      <c r="F520" s="166">
        <v>207</v>
      </c>
      <c r="G520" s="15"/>
    </row>
    <row r="521" spans="1:7" s="43" customFormat="1" ht="24" customHeight="1" x14ac:dyDescent="0.15">
      <c r="A521" s="181"/>
      <c r="B521" s="19" t="s">
        <v>112</v>
      </c>
      <c r="C521" s="166">
        <v>295</v>
      </c>
      <c r="D521" s="223">
        <v>445</v>
      </c>
      <c r="E521" s="166">
        <v>240</v>
      </c>
      <c r="F521" s="166">
        <v>205</v>
      </c>
      <c r="G521" s="15"/>
    </row>
    <row r="522" spans="1:7" s="43" customFormat="1" ht="24" customHeight="1" x14ac:dyDescent="0.15">
      <c r="A522" s="181"/>
      <c r="B522" s="19" t="s">
        <v>113</v>
      </c>
      <c r="C522" s="166">
        <v>458</v>
      </c>
      <c r="D522" s="223">
        <v>1473</v>
      </c>
      <c r="E522" s="166">
        <v>721</v>
      </c>
      <c r="F522" s="166">
        <v>752</v>
      </c>
      <c r="G522" s="15"/>
    </row>
    <row r="523" spans="1:7" s="43" customFormat="1" ht="24" customHeight="1" x14ac:dyDescent="0.15">
      <c r="A523" s="181"/>
      <c r="B523" s="19" t="s">
        <v>114</v>
      </c>
      <c r="C523" s="166">
        <v>294</v>
      </c>
      <c r="D523" s="223">
        <v>420</v>
      </c>
      <c r="E523" s="166">
        <v>237</v>
      </c>
      <c r="F523" s="166">
        <v>183</v>
      </c>
      <c r="G523" s="15"/>
    </row>
    <row r="524" spans="1:7" s="43" customFormat="1" ht="24" customHeight="1" x14ac:dyDescent="0.15">
      <c r="A524" s="181"/>
      <c r="B524" s="19" t="s">
        <v>115</v>
      </c>
      <c r="C524" s="166">
        <v>343</v>
      </c>
      <c r="D524" s="223">
        <v>438</v>
      </c>
      <c r="E524" s="166">
        <v>292</v>
      </c>
      <c r="F524" s="166">
        <v>146</v>
      </c>
      <c r="G524" s="15"/>
    </row>
    <row r="525" spans="1:7" s="43" customFormat="1" ht="24" customHeight="1" x14ac:dyDescent="0.15">
      <c r="A525" s="181"/>
      <c r="B525" s="19" t="s">
        <v>116</v>
      </c>
      <c r="C525" s="166">
        <v>220</v>
      </c>
      <c r="D525" s="223">
        <v>320</v>
      </c>
      <c r="E525" s="166">
        <v>178</v>
      </c>
      <c r="F525" s="166">
        <v>142</v>
      </c>
      <c r="G525" s="15"/>
    </row>
    <row r="526" spans="1:7" s="43" customFormat="1" ht="24" customHeight="1" x14ac:dyDescent="0.15">
      <c r="A526" s="181"/>
      <c r="B526" s="19" t="s">
        <v>117</v>
      </c>
      <c r="C526" s="166">
        <v>387</v>
      </c>
      <c r="D526" s="223">
        <v>530</v>
      </c>
      <c r="E526" s="166">
        <v>292</v>
      </c>
      <c r="F526" s="166">
        <v>238</v>
      </c>
      <c r="G526" s="15"/>
    </row>
    <row r="527" spans="1:7" s="43" customFormat="1" ht="24" customHeight="1" x14ac:dyDescent="0.15">
      <c r="A527" s="181"/>
      <c r="B527" s="19" t="s">
        <v>118</v>
      </c>
      <c r="C527" s="166">
        <v>424</v>
      </c>
      <c r="D527" s="223">
        <v>1292</v>
      </c>
      <c r="E527" s="166">
        <v>645</v>
      </c>
      <c r="F527" s="166">
        <v>647</v>
      </c>
      <c r="G527" s="15"/>
    </row>
    <row r="528" spans="1:7" s="43" customFormat="1" ht="24" customHeight="1" x14ac:dyDescent="0.15">
      <c r="A528" s="181"/>
      <c r="B528" s="19" t="s">
        <v>119</v>
      </c>
      <c r="C528" s="166">
        <v>551</v>
      </c>
      <c r="D528" s="223">
        <v>1586</v>
      </c>
      <c r="E528" s="166">
        <v>785</v>
      </c>
      <c r="F528" s="166">
        <v>801</v>
      </c>
      <c r="G528" s="15"/>
    </row>
    <row r="529" spans="1:7" s="43" customFormat="1" ht="24" customHeight="1" x14ac:dyDescent="0.15">
      <c r="A529" s="181"/>
      <c r="B529" s="19" t="s">
        <v>120</v>
      </c>
      <c r="C529" s="166">
        <v>534</v>
      </c>
      <c r="D529" s="223">
        <v>1472</v>
      </c>
      <c r="E529" s="166">
        <v>733</v>
      </c>
      <c r="F529" s="166">
        <v>739</v>
      </c>
      <c r="G529" s="15"/>
    </row>
    <row r="530" spans="1:7" s="43" customFormat="1" ht="24" customHeight="1" x14ac:dyDescent="0.15">
      <c r="A530" s="181"/>
      <c r="B530" s="19" t="s">
        <v>121</v>
      </c>
      <c r="C530" s="166">
        <v>531</v>
      </c>
      <c r="D530" s="223">
        <v>1445</v>
      </c>
      <c r="E530" s="166">
        <v>707</v>
      </c>
      <c r="F530" s="166">
        <v>738</v>
      </c>
      <c r="G530" s="15"/>
    </row>
    <row r="531" spans="1:7" s="43" customFormat="1" ht="24" customHeight="1" x14ac:dyDescent="0.15">
      <c r="A531" s="181"/>
      <c r="B531" s="19" t="s">
        <v>122</v>
      </c>
      <c r="C531" s="166">
        <v>347</v>
      </c>
      <c r="D531" s="223">
        <v>528</v>
      </c>
      <c r="E531" s="166">
        <v>288</v>
      </c>
      <c r="F531" s="166">
        <v>240</v>
      </c>
      <c r="G531" s="15"/>
    </row>
    <row r="532" spans="1:7" s="43" customFormat="1" ht="24" customHeight="1" x14ac:dyDescent="0.15">
      <c r="A532" s="181"/>
      <c r="B532" s="19" t="s">
        <v>124</v>
      </c>
      <c r="C532" s="166">
        <v>477</v>
      </c>
      <c r="D532" s="223">
        <v>1257</v>
      </c>
      <c r="E532" s="166">
        <v>656</v>
      </c>
      <c r="F532" s="166">
        <v>601</v>
      </c>
      <c r="G532" s="15"/>
    </row>
    <row r="533" spans="1:7" s="43" customFormat="1" ht="24" customHeight="1" x14ac:dyDescent="0.15">
      <c r="A533" s="181"/>
      <c r="B533" s="19" t="s">
        <v>125</v>
      </c>
      <c r="C533" s="166">
        <v>530</v>
      </c>
      <c r="D533" s="223">
        <v>1344</v>
      </c>
      <c r="E533" s="166">
        <v>668</v>
      </c>
      <c r="F533" s="166">
        <v>676</v>
      </c>
      <c r="G533" s="15"/>
    </row>
    <row r="534" spans="1:7" s="43" customFormat="1" ht="24" customHeight="1" x14ac:dyDescent="0.15">
      <c r="A534" s="181"/>
      <c r="B534" s="19" t="s">
        <v>126</v>
      </c>
      <c r="C534" s="166">
        <v>499</v>
      </c>
      <c r="D534" s="223">
        <v>1273</v>
      </c>
      <c r="E534" s="166">
        <v>641</v>
      </c>
      <c r="F534" s="166">
        <v>632</v>
      </c>
      <c r="G534" s="15"/>
    </row>
    <row r="535" spans="1:7" s="43" customFormat="1" ht="24" customHeight="1" x14ac:dyDescent="0.15">
      <c r="A535" s="181"/>
      <c r="B535" s="19" t="s">
        <v>447</v>
      </c>
      <c r="C535" s="166">
        <v>360</v>
      </c>
      <c r="D535" s="223">
        <v>465</v>
      </c>
      <c r="E535" s="166">
        <v>285</v>
      </c>
      <c r="F535" s="166">
        <v>180</v>
      </c>
      <c r="G535" s="15"/>
    </row>
    <row r="536" spans="1:7" s="43" customFormat="1" ht="24" customHeight="1" x14ac:dyDescent="0.15">
      <c r="A536" s="181"/>
      <c r="B536" s="19" t="s">
        <v>292</v>
      </c>
      <c r="C536" s="166">
        <v>718</v>
      </c>
      <c r="D536" s="223">
        <v>1952</v>
      </c>
      <c r="E536" s="166">
        <v>959</v>
      </c>
      <c r="F536" s="166">
        <v>993</v>
      </c>
      <c r="G536" s="15"/>
    </row>
    <row r="537" spans="1:7" s="43" customFormat="1" ht="24" customHeight="1" x14ac:dyDescent="0.15">
      <c r="A537" s="181"/>
      <c r="B537" s="19" t="s">
        <v>231</v>
      </c>
      <c r="C537" s="166">
        <v>561</v>
      </c>
      <c r="D537" s="223">
        <v>1308</v>
      </c>
      <c r="E537" s="166">
        <v>665</v>
      </c>
      <c r="F537" s="166">
        <v>643</v>
      </c>
      <c r="G537" s="15"/>
    </row>
    <row r="538" spans="1:7" s="43" customFormat="1" ht="24" customHeight="1" x14ac:dyDescent="0.15">
      <c r="A538" s="181"/>
      <c r="B538" s="19" t="s">
        <v>232</v>
      </c>
      <c r="C538" s="166">
        <v>645</v>
      </c>
      <c r="D538" s="223">
        <v>1862</v>
      </c>
      <c r="E538" s="166">
        <v>915</v>
      </c>
      <c r="F538" s="166">
        <v>947</v>
      </c>
      <c r="G538" s="15"/>
    </row>
    <row r="539" spans="1:7" s="43" customFormat="1" ht="24" customHeight="1" x14ac:dyDescent="0.15">
      <c r="A539" s="181"/>
      <c r="B539" s="19" t="s">
        <v>448</v>
      </c>
      <c r="C539" s="166">
        <v>596</v>
      </c>
      <c r="D539" s="223">
        <v>1539</v>
      </c>
      <c r="E539" s="166">
        <v>766</v>
      </c>
      <c r="F539" s="166">
        <v>773</v>
      </c>
      <c r="G539" s="10"/>
    </row>
    <row r="540" spans="1:7" s="43" customFormat="1" ht="24" customHeight="1" x14ac:dyDescent="0.15">
      <c r="A540" s="181"/>
      <c r="B540" s="19" t="s">
        <v>491</v>
      </c>
      <c r="C540" s="278">
        <v>559</v>
      </c>
      <c r="D540" s="223">
        <v>1503</v>
      </c>
      <c r="E540" s="278">
        <v>753</v>
      </c>
      <c r="F540" s="278">
        <v>750</v>
      </c>
      <c r="G540" s="12"/>
    </row>
    <row r="541" spans="1:7" s="43" customFormat="1" ht="24" customHeight="1" thickBot="1" x14ac:dyDescent="0.2">
      <c r="A541" s="192"/>
      <c r="B541" s="19" t="s">
        <v>492</v>
      </c>
      <c r="C541" s="278">
        <v>617</v>
      </c>
      <c r="D541" s="223">
        <v>1673</v>
      </c>
      <c r="E541" s="278">
        <v>846</v>
      </c>
      <c r="F541" s="278">
        <v>827</v>
      </c>
      <c r="G541" s="23"/>
    </row>
    <row r="542" spans="1:7" s="43" customFormat="1" ht="22.5" customHeight="1" thickTop="1" x14ac:dyDescent="0.15">
      <c r="A542" s="180" t="s">
        <v>293</v>
      </c>
      <c r="B542" s="7" t="s">
        <v>0</v>
      </c>
      <c r="C542" s="124">
        <f>SUM(C543:C603)</f>
        <v>21492</v>
      </c>
      <c r="D542" s="125">
        <f>SUM(D543:D603)</f>
        <v>39066</v>
      </c>
      <c r="E542" s="124">
        <f>SUM(E543:E603)</f>
        <v>18935</v>
      </c>
      <c r="F542" s="124">
        <f>SUM(F543:F603)</f>
        <v>20131</v>
      </c>
      <c r="G542" s="8"/>
    </row>
    <row r="543" spans="1:7" s="43" customFormat="1" ht="22.5" customHeight="1" x14ac:dyDescent="0.15">
      <c r="A543" s="181"/>
      <c r="B543" s="19" t="s">
        <v>86</v>
      </c>
      <c r="C543" s="162">
        <v>283</v>
      </c>
      <c r="D543" s="224">
        <v>340</v>
      </c>
      <c r="E543" s="162">
        <v>163</v>
      </c>
      <c r="F543" s="162">
        <v>177</v>
      </c>
      <c r="G543" s="10"/>
    </row>
    <row r="544" spans="1:7" s="43" customFormat="1" ht="22.5" customHeight="1" x14ac:dyDescent="0.15">
      <c r="A544" s="181"/>
      <c r="B544" s="19" t="s">
        <v>67</v>
      </c>
      <c r="C544" s="162">
        <v>501</v>
      </c>
      <c r="D544" s="224">
        <v>604</v>
      </c>
      <c r="E544" s="162">
        <v>285</v>
      </c>
      <c r="F544" s="162">
        <v>319</v>
      </c>
      <c r="G544" s="15"/>
    </row>
    <row r="545" spans="1:7" s="43" customFormat="1" ht="22.5" customHeight="1" x14ac:dyDescent="0.15">
      <c r="A545" s="181"/>
      <c r="B545" s="19" t="s">
        <v>68</v>
      </c>
      <c r="C545" s="162">
        <v>208</v>
      </c>
      <c r="D545" s="224">
        <v>259</v>
      </c>
      <c r="E545" s="162">
        <v>165</v>
      </c>
      <c r="F545" s="162">
        <v>94</v>
      </c>
      <c r="G545" s="15"/>
    </row>
    <row r="546" spans="1:7" s="43" customFormat="1" ht="22.5" customHeight="1" x14ac:dyDescent="0.15">
      <c r="A546" s="181"/>
      <c r="B546" s="19" t="s">
        <v>69</v>
      </c>
      <c r="C546" s="162">
        <v>593</v>
      </c>
      <c r="D546" s="224">
        <v>644</v>
      </c>
      <c r="E546" s="162">
        <v>281</v>
      </c>
      <c r="F546" s="162">
        <v>363</v>
      </c>
      <c r="G546" s="15"/>
    </row>
    <row r="547" spans="1:7" s="43" customFormat="1" ht="22.5" customHeight="1" x14ac:dyDescent="0.15">
      <c r="A547" s="181"/>
      <c r="B547" s="19" t="s">
        <v>70</v>
      </c>
      <c r="C547" s="162">
        <v>165</v>
      </c>
      <c r="D547" s="224">
        <v>247</v>
      </c>
      <c r="E547" s="162">
        <v>131</v>
      </c>
      <c r="F547" s="162">
        <v>116</v>
      </c>
      <c r="G547" s="15"/>
    </row>
    <row r="548" spans="1:7" s="43" customFormat="1" ht="22.5" customHeight="1" x14ac:dyDescent="0.15">
      <c r="A548" s="181"/>
      <c r="B548" s="19" t="s">
        <v>71</v>
      </c>
      <c r="C548" s="162">
        <v>244</v>
      </c>
      <c r="D548" s="224">
        <v>340</v>
      </c>
      <c r="E548" s="162">
        <v>180</v>
      </c>
      <c r="F548" s="162">
        <v>160</v>
      </c>
      <c r="G548" s="15"/>
    </row>
    <row r="549" spans="1:7" s="43" customFormat="1" ht="22.5" customHeight="1" x14ac:dyDescent="0.15">
      <c r="A549" s="181"/>
      <c r="B549" s="19" t="s">
        <v>72</v>
      </c>
      <c r="C549" s="162">
        <v>711</v>
      </c>
      <c r="D549" s="224">
        <v>819</v>
      </c>
      <c r="E549" s="162">
        <v>402</v>
      </c>
      <c r="F549" s="162">
        <v>417</v>
      </c>
      <c r="G549" s="15"/>
    </row>
    <row r="550" spans="1:7" s="43" customFormat="1" ht="22.5" customHeight="1" x14ac:dyDescent="0.15">
      <c r="A550" s="181"/>
      <c r="B550" s="19" t="s">
        <v>73</v>
      </c>
      <c r="C550" s="162">
        <v>257</v>
      </c>
      <c r="D550" s="224">
        <v>341</v>
      </c>
      <c r="E550" s="162">
        <v>210</v>
      </c>
      <c r="F550" s="162">
        <v>131</v>
      </c>
      <c r="G550" s="15"/>
    </row>
    <row r="551" spans="1:7" s="43" customFormat="1" ht="22.5" customHeight="1" x14ac:dyDescent="0.15">
      <c r="A551" s="181"/>
      <c r="B551" s="19" t="s">
        <v>74</v>
      </c>
      <c r="C551" s="162">
        <v>291</v>
      </c>
      <c r="D551" s="224">
        <v>660</v>
      </c>
      <c r="E551" s="162">
        <v>306</v>
      </c>
      <c r="F551" s="162">
        <v>354</v>
      </c>
      <c r="G551" s="10"/>
    </row>
    <row r="552" spans="1:7" s="43" customFormat="1" ht="22.5" customHeight="1" x14ac:dyDescent="0.15">
      <c r="A552" s="181"/>
      <c r="B552" s="20" t="s">
        <v>75</v>
      </c>
      <c r="C552" s="162">
        <v>225</v>
      </c>
      <c r="D552" s="224">
        <v>316</v>
      </c>
      <c r="E552" s="162">
        <v>172</v>
      </c>
      <c r="F552" s="162">
        <v>144</v>
      </c>
      <c r="G552" s="23"/>
    </row>
    <row r="553" spans="1:7" s="43" customFormat="1" ht="22.5" customHeight="1" x14ac:dyDescent="0.15">
      <c r="A553" s="181"/>
      <c r="B553" s="19" t="s">
        <v>76</v>
      </c>
      <c r="C553" s="162">
        <v>470</v>
      </c>
      <c r="D553" s="224">
        <v>1112</v>
      </c>
      <c r="E553" s="162">
        <v>503</v>
      </c>
      <c r="F553" s="162">
        <v>609</v>
      </c>
      <c r="G553" s="15"/>
    </row>
    <row r="554" spans="1:7" s="43" customFormat="1" ht="22.5" customHeight="1" x14ac:dyDescent="0.15">
      <c r="A554" s="181"/>
      <c r="B554" s="19" t="s">
        <v>77</v>
      </c>
      <c r="C554" s="162">
        <v>455</v>
      </c>
      <c r="D554" s="224">
        <v>1163</v>
      </c>
      <c r="E554" s="162">
        <v>542</v>
      </c>
      <c r="F554" s="162">
        <v>621</v>
      </c>
      <c r="G554" s="10"/>
    </row>
    <row r="555" spans="1:7" s="43" customFormat="1" ht="22.5" customHeight="1" x14ac:dyDescent="0.15">
      <c r="A555" s="181"/>
      <c r="B555" s="20" t="s">
        <v>78</v>
      </c>
      <c r="C555" s="162">
        <v>145</v>
      </c>
      <c r="D555" s="224">
        <v>242</v>
      </c>
      <c r="E555" s="162">
        <v>127</v>
      </c>
      <c r="F555" s="162">
        <v>115</v>
      </c>
      <c r="G555" s="23"/>
    </row>
    <row r="556" spans="1:7" s="43" customFormat="1" ht="22.5" customHeight="1" x14ac:dyDescent="0.15">
      <c r="A556" s="181"/>
      <c r="B556" s="19" t="s">
        <v>79</v>
      </c>
      <c r="C556" s="162">
        <v>307</v>
      </c>
      <c r="D556" s="224">
        <v>606</v>
      </c>
      <c r="E556" s="162">
        <v>282</v>
      </c>
      <c r="F556" s="162">
        <v>324</v>
      </c>
      <c r="G556" s="15"/>
    </row>
    <row r="557" spans="1:7" s="43" customFormat="1" ht="22.5" customHeight="1" x14ac:dyDescent="0.15">
      <c r="A557" s="181"/>
      <c r="B557" s="19" t="s">
        <v>80</v>
      </c>
      <c r="C557" s="162">
        <v>256</v>
      </c>
      <c r="D557" s="224">
        <v>361</v>
      </c>
      <c r="E557" s="162">
        <v>197</v>
      </c>
      <c r="F557" s="162">
        <v>164</v>
      </c>
      <c r="G557" s="15"/>
    </row>
    <row r="558" spans="1:7" s="43" customFormat="1" ht="22.5" customHeight="1" x14ac:dyDescent="0.15">
      <c r="A558" s="181"/>
      <c r="B558" s="19" t="s">
        <v>81</v>
      </c>
      <c r="C558" s="162">
        <v>235</v>
      </c>
      <c r="D558" s="224">
        <v>350</v>
      </c>
      <c r="E558" s="162">
        <v>190</v>
      </c>
      <c r="F558" s="162">
        <v>160</v>
      </c>
      <c r="G558" s="10"/>
    </row>
    <row r="559" spans="1:7" s="43" customFormat="1" ht="22.5" customHeight="1" x14ac:dyDescent="0.15">
      <c r="A559" s="181"/>
      <c r="B559" s="20" t="s">
        <v>82</v>
      </c>
      <c r="C559" s="162">
        <v>155</v>
      </c>
      <c r="D559" s="224">
        <v>204</v>
      </c>
      <c r="E559" s="162">
        <v>117</v>
      </c>
      <c r="F559" s="162">
        <v>87</v>
      </c>
      <c r="G559" s="12"/>
    </row>
    <row r="560" spans="1:7" s="43" customFormat="1" ht="22.5" customHeight="1" x14ac:dyDescent="0.15">
      <c r="A560" s="181"/>
      <c r="B560" s="19" t="s">
        <v>83</v>
      </c>
      <c r="C560" s="162">
        <v>115</v>
      </c>
      <c r="D560" s="224">
        <v>164</v>
      </c>
      <c r="E560" s="162">
        <v>95</v>
      </c>
      <c r="F560" s="162">
        <v>69</v>
      </c>
      <c r="G560" s="15"/>
    </row>
    <row r="561" spans="1:7" s="43" customFormat="1" ht="22.5" customHeight="1" x14ac:dyDescent="0.15">
      <c r="A561" s="181"/>
      <c r="B561" s="19" t="s">
        <v>84</v>
      </c>
      <c r="C561" s="162">
        <v>292</v>
      </c>
      <c r="D561" s="224">
        <v>389</v>
      </c>
      <c r="E561" s="162">
        <v>208</v>
      </c>
      <c r="F561" s="162">
        <v>181</v>
      </c>
      <c r="G561" s="15"/>
    </row>
    <row r="562" spans="1:7" s="43" customFormat="1" ht="22.5" customHeight="1" x14ac:dyDescent="0.15">
      <c r="A562" s="181"/>
      <c r="B562" s="19" t="s">
        <v>85</v>
      </c>
      <c r="C562" s="162">
        <v>146</v>
      </c>
      <c r="D562" s="224">
        <v>254</v>
      </c>
      <c r="E562" s="162">
        <v>136</v>
      </c>
      <c r="F562" s="162">
        <v>118</v>
      </c>
      <c r="G562" s="10"/>
    </row>
    <row r="563" spans="1:7" s="43" customFormat="1" ht="22.5" customHeight="1" x14ac:dyDescent="0.15">
      <c r="A563" s="181"/>
      <c r="B563" s="20" t="s">
        <v>87</v>
      </c>
      <c r="C563" s="162">
        <v>112</v>
      </c>
      <c r="D563" s="224">
        <v>225</v>
      </c>
      <c r="E563" s="162">
        <v>112</v>
      </c>
      <c r="F563" s="162">
        <v>113</v>
      </c>
      <c r="G563" s="12"/>
    </row>
    <row r="564" spans="1:7" s="43" customFormat="1" ht="22.5" customHeight="1" x14ac:dyDescent="0.15">
      <c r="A564" s="181"/>
      <c r="B564" s="19" t="s">
        <v>88</v>
      </c>
      <c r="C564" s="162">
        <v>119</v>
      </c>
      <c r="D564" s="224">
        <v>181</v>
      </c>
      <c r="E564" s="162">
        <v>93</v>
      </c>
      <c r="F564" s="162">
        <v>88</v>
      </c>
      <c r="G564" s="15"/>
    </row>
    <row r="565" spans="1:7" s="43" customFormat="1" ht="22.5" customHeight="1" x14ac:dyDescent="0.15">
      <c r="A565" s="181"/>
      <c r="B565" s="19" t="s">
        <v>89</v>
      </c>
      <c r="C565" s="162">
        <v>321</v>
      </c>
      <c r="D565" s="224">
        <v>382</v>
      </c>
      <c r="E565" s="162">
        <v>248</v>
      </c>
      <c r="F565" s="162">
        <v>134</v>
      </c>
      <c r="G565" s="15"/>
    </row>
    <row r="566" spans="1:7" s="43" customFormat="1" ht="22.5" customHeight="1" x14ac:dyDescent="0.15">
      <c r="A566" s="181"/>
      <c r="B566" s="19" t="s">
        <v>90</v>
      </c>
      <c r="C566" s="162">
        <v>883</v>
      </c>
      <c r="D566" s="224">
        <v>1008</v>
      </c>
      <c r="E566" s="162">
        <v>468</v>
      </c>
      <c r="F566" s="162">
        <v>540</v>
      </c>
      <c r="G566" s="15"/>
    </row>
    <row r="567" spans="1:7" s="43" customFormat="1" ht="22.5" customHeight="1" x14ac:dyDescent="0.15">
      <c r="A567" s="181"/>
      <c r="B567" s="19" t="s">
        <v>91</v>
      </c>
      <c r="C567" s="162">
        <v>408</v>
      </c>
      <c r="D567" s="224">
        <v>545</v>
      </c>
      <c r="E567" s="162">
        <v>299</v>
      </c>
      <c r="F567" s="162">
        <v>246</v>
      </c>
      <c r="G567" s="15"/>
    </row>
    <row r="568" spans="1:7" s="43" customFormat="1" ht="22.5" customHeight="1" x14ac:dyDescent="0.15">
      <c r="A568" s="181"/>
      <c r="B568" s="19" t="s">
        <v>92</v>
      </c>
      <c r="C568" s="162">
        <v>633</v>
      </c>
      <c r="D568" s="224">
        <v>711</v>
      </c>
      <c r="E568" s="162">
        <v>345</v>
      </c>
      <c r="F568" s="162">
        <v>366</v>
      </c>
      <c r="G568" s="15"/>
    </row>
    <row r="569" spans="1:7" s="43" customFormat="1" ht="22.5" customHeight="1" x14ac:dyDescent="0.15">
      <c r="A569" s="181"/>
      <c r="B569" s="19" t="s">
        <v>93</v>
      </c>
      <c r="C569" s="162">
        <v>1123</v>
      </c>
      <c r="D569" s="224">
        <v>1232</v>
      </c>
      <c r="E569" s="162">
        <v>512</v>
      </c>
      <c r="F569" s="162">
        <v>720</v>
      </c>
      <c r="G569" s="10"/>
    </row>
    <row r="570" spans="1:7" s="43" customFormat="1" ht="22.5" customHeight="1" x14ac:dyDescent="0.15">
      <c r="A570" s="181"/>
      <c r="B570" s="20" t="s">
        <v>94</v>
      </c>
      <c r="C570" s="162">
        <v>537</v>
      </c>
      <c r="D570" s="224">
        <v>630</v>
      </c>
      <c r="E570" s="162">
        <v>371</v>
      </c>
      <c r="F570" s="162">
        <v>259</v>
      </c>
      <c r="G570" s="12"/>
    </row>
    <row r="571" spans="1:7" s="43" customFormat="1" ht="22.5" customHeight="1" x14ac:dyDescent="0.15">
      <c r="A571" s="181"/>
      <c r="B571" s="19" t="s">
        <v>95</v>
      </c>
      <c r="C571" s="162">
        <v>209</v>
      </c>
      <c r="D571" s="224">
        <v>472</v>
      </c>
      <c r="E571" s="162">
        <v>221</v>
      </c>
      <c r="F571" s="162">
        <v>251</v>
      </c>
      <c r="G571" s="15"/>
    </row>
    <row r="572" spans="1:7" s="43" customFormat="1" ht="22.5" customHeight="1" x14ac:dyDescent="0.15">
      <c r="A572" s="181"/>
      <c r="B572" s="19" t="s">
        <v>96</v>
      </c>
      <c r="C572" s="162">
        <v>194</v>
      </c>
      <c r="D572" s="224">
        <v>420</v>
      </c>
      <c r="E572" s="162">
        <v>194</v>
      </c>
      <c r="F572" s="162">
        <v>226</v>
      </c>
      <c r="G572" s="15"/>
    </row>
    <row r="573" spans="1:7" s="43" customFormat="1" ht="22.5" customHeight="1" x14ac:dyDescent="0.15">
      <c r="A573" s="181"/>
      <c r="B573" s="19" t="s">
        <v>97</v>
      </c>
      <c r="C573" s="162">
        <v>243</v>
      </c>
      <c r="D573" s="224">
        <v>477</v>
      </c>
      <c r="E573" s="162">
        <v>215</v>
      </c>
      <c r="F573" s="162">
        <v>262</v>
      </c>
      <c r="G573" s="15"/>
    </row>
    <row r="574" spans="1:7" s="43" customFormat="1" ht="22.5" customHeight="1" x14ac:dyDescent="0.15">
      <c r="A574" s="181"/>
      <c r="B574" s="19" t="s">
        <v>98</v>
      </c>
      <c r="C574" s="162">
        <v>243</v>
      </c>
      <c r="D574" s="224">
        <v>514</v>
      </c>
      <c r="E574" s="162">
        <v>221</v>
      </c>
      <c r="F574" s="162">
        <v>293</v>
      </c>
      <c r="G574" s="15"/>
    </row>
    <row r="575" spans="1:7" s="43" customFormat="1" ht="22.5" customHeight="1" x14ac:dyDescent="0.15">
      <c r="A575" s="181"/>
      <c r="B575" s="19" t="s">
        <v>99</v>
      </c>
      <c r="C575" s="162">
        <v>241</v>
      </c>
      <c r="D575" s="224">
        <v>514</v>
      </c>
      <c r="E575" s="162">
        <v>243</v>
      </c>
      <c r="F575" s="162">
        <v>271</v>
      </c>
      <c r="G575" s="15"/>
    </row>
    <row r="576" spans="1:7" s="43" customFormat="1" ht="22.5" customHeight="1" x14ac:dyDescent="0.15">
      <c r="A576" s="181"/>
      <c r="B576" s="19" t="s">
        <v>100</v>
      </c>
      <c r="C576" s="162">
        <v>256</v>
      </c>
      <c r="D576" s="224">
        <v>549</v>
      </c>
      <c r="E576" s="162">
        <v>248</v>
      </c>
      <c r="F576" s="162">
        <v>301</v>
      </c>
      <c r="G576" s="15"/>
    </row>
    <row r="577" spans="1:7" s="43" customFormat="1" ht="22.5" customHeight="1" x14ac:dyDescent="0.15">
      <c r="A577" s="181"/>
      <c r="B577" s="19" t="s">
        <v>101</v>
      </c>
      <c r="C577" s="162">
        <v>267</v>
      </c>
      <c r="D577" s="224">
        <v>549</v>
      </c>
      <c r="E577" s="162">
        <v>246</v>
      </c>
      <c r="F577" s="162">
        <v>303</v>
      </c>
      <c r="G577" s="15"/>
    </row>
    <row r="578" spans="1:7" s="43" customFormat="1" ht="22.5" customHeight="1" x14ac:dyDescent="0.15">
      <c r="A578" s="181"/>
      <c r="B578" s="19" t="s">
        <v>102</v>
      </c>
      <c r="C578" s="162">
        <v>294</v>
      </c>
      <c r="D578" s="224">
        <v>784</v>
      </c>
      <c r="E578" s="162">
        <v>378</v>
      </c>
      <c r="F578" s="162">
        <v>406</v>
      </c>
      <c r="G578" s="15"/>
    </row>
    <row r="579" spans="1:7" s="43" customFormat="1" ht="22.5" customHeight="1" x14ac:dyDescent="0.15">
      <c r="A579" s="181"/>
      <c r="B579" s="19" t="s">
        <v>103</v>
      </c>
      <c r="C579" s="162">
        <v>291</v>
      </c>
      <c r="D579" s="224">
        <v>760</v>
      </c>
      <c r="E579" s="162">
        <v>366</v>
      </c>
      <c r="F579" s="162">
        <v>394</v>
      </c>
      <c r="G579" s="10"/>
    </row>
    <row r="580" spans="1:7" s="43" customFormat="1" ht="22.5" customHeight="1" x14ac:dyDescent="0.15">
      <c r="A580" s="181"/>
      <c r="B580" s="20" t="s">
        <v>104</v>
      </c>
      <c r="C580" s="162">
        <v>299</v>
      </c>
      <c r="D580" s="224">
        <v>764</v>
      </c>
      <c r="E580" s="162">
        <v>354</v>
      </c>
      <c r="F580" s="162">
        <v>410</v>
      </c>
      <c r="G580" s="23"/>
    </row>
    <row r="581" spans="1:7" s="43" customFormat="1" ht="22.5" customHeight="1" x14ac:dyDescent="0.15">
      <c r="A581" s="181"/>
      <c r="B581" s="19" t="s">
        <v>105</v>
      </c>
      <c r="C581" s="162">
        <v>237</v>
      </c>
      <c r="D581" s="224">
        <v>588</v>
      </c>
      <c r="E581" s="162">
        <v>280</v>
      </c>
      <c r="F581" s="162">
        <v>308</v>
      </c>
      <c r="G581" s="15"/>
    </row>
    <row r="582" spans="1:7" s="43" customFormat="1" ht="22.5" customHeight="1" x14ac:dyDescent="0.15">
      <c r="A582" s="181"/>
      <c r="B582" s="19" t="s">
        <v>106</v>
      </c>
      <c r="C582" s="162">
        <v>190</v>
      </c>
      <c r="D582" s="224">
        <v>443</v>
      </c>
      <c r="E582" s="162">
        <v>218</v>
      </c>
      <c r="F582" s="162">
        <v>225</v>
      </c>
      <c r="G582" s="15"/>
    </row>
    <row r="583" spans="1:7" s="43" customFormat="1" ht="22.5" customHeight="1" x14ac:dyDescent="0.15">
      <c r="A583" s="181"/>
      <c r="B583" s="19" t="s">
        <v>107</v>
      </c>
      <c r="C583" s="162">
        <v>276</v>
      </c>
      <c r="D583" s="224">
        <v>665</v>
      </c>
      <c r="E583" s="162">
        <v>314</v>
      </c>
      <c r="F583" s="162">
        <v>351</v>
      </c>
      <c r="G583" s="15"/>
    </row>
    <row r="584" spans="1:7" s="43" customFormat="1" ht="22.5" customHeight="1" x14ac:dyDescent="0.15">
      <c r="A584" s="181"/>
      <c r="B584" s="19" t="s">
        <v>108</v>
      </c>
      <c r="C584" s="162">
        <v>198</v>
      </c>
      <c r="D584" s="224">
        <v>514</v>
      </c>
      <c r="E584" s="162">
        <v>255</v>
      </c>
      <c r="F584" s="162">
        <v>259</v>
      </c>
      <c r="G584" s="10"/>
    </row>
    <row r="585" spans="1:7" s="43" customFormat="1" ht="22.5" customHeight="1" x14ac:dyDescent="0.15">
      <c r="A585" s="181"/>
      <c r="B585" s="19" t="s">
        <v>123</v>
      </c>
      <c r="C585" s="162">
        <v>503</v>
      </c>
      <c r="D585" s="224">
        <v>557</v>
      </c>
      <c r="E585" s="162">
        <v>261</v>
      </c>
      <c r="F585" s="162">
        <v>296</v>
      </c>
      <c r="G585" s="10"/>
    </row>
    <row r="586" spans="1:7" s="43" customFormat="1" ht="22.5" customHeight="1" x14ac:dyDescent="0.15">
      <c r="A586" s="181"/>
      <c r="B586" s="19" t="s">
        <v>109</v>
      </c>
      <c r="C586" s="162">
        <v>411</v>
      </c>
      <c r="D586" s="224">
        <v>868</v>
      </c>
      <c r="E586" s="162">
        <v>429</v>
      </c>
      <c r="F586" s="162">
        <v>439</v>
      </c>
      <c r="G586" s="15"/>
    </row>
    <row r="587" spans="1:7" s="43" customFormat="1" ht="22.5" customHeight="1" x14ac:dyDescent="0.15">
      <c r="A587" s="181"/>
      <c r="B587" s="19" t="s">
        <v>110</v>
      </c>
      <c r="C587" s="162">
        <v>251</v>
      </c>
      <c r="D587" s="224">
        <v>609</v>
      </c>
      <c r="E587" s="162">
        <v>289</v>
      </c>
      <c r="F587" s="162">
        <v>320</v>
      </c>
      <c r="G587" s="15"/>
    </row>
    <row r="588" spans="1:7" s="43" customFormat="1" ht="22.5" customHeight="1" x14ac:dyDescent="0.15">
      <c r="A588" s="181"/>
      <c r="B588" s="19" t="s">
        <v>111</v>
      </c>
      <c r="C588" s="162">
        <v>281</v>
      </c>
      <c r="D588" s="224">
        <v>687</v>
      </c>
      <c r="E588" s="162">
        <v>323</v>
      </c>
      <c r="F588" s="162">
        <v>364</v>
      </c>
      <c r="G588" s="15"/>
    </row>
    <row r="589" spans="1:7" s="43" customFormat="1" ht="22.5" customHeight="1" x14ac:dyDescent="0.15">
      <c r="A589" s="181"/>
      <c r="B589" s="19" t="s">
        <v>127</v>
      </c>
      <c r="C589" s="162">
        <v>228</v>
      </c>
      <c r="D589" s="224">
        <v>605</v>
      </c>
      <c r="E589" s="162">
        <v>272</v>
      </c>
      <c r="F589" s="162">
        <v>333</v>
      </c>
      <c r="G589" s="15"/>
    </row>
    <row r="590" spans="1:7" s="43" customFormat="1" ht="22.5" customHeight="1" x14ac:dyDescent="0.15">
      <c r="A590" s="181"/>
      <c r="B590" s="19" t="s">
        <v>128</v>
      </c>
      <c r="C590" s="162">
        <v>270</v>
      </c>
      <c r="D590" s="224">
        <v>710</v>
      </c>
      <c r="E590" s="162">
        <v>340</v>
      </c>
      <c r="F590" s="162">
        <v>370</v>
      </c>
      <c r="G590" s="10"/>
    </row>
    <row r="591" spans="1:7" s="43" customFormat="1" ht="22.5" customHeight="1" x14ac:dyDescent="0.15">
      <c r="A591" s="181"/>
      <c r="B591" s="19" t="s">
        <v>112</v>
      </c>
      <c r="C591" s="162">
        <v>220</v>
      </c>
      <c r="D591" s="224">
        <v>369</v>
      </c>
      <c r="E591" s="162">
        <v>205</v>
      </c>
      <c r="F591" s="162">
        <v>164</v>
      </c>
      <c r="G591" s="15"/>
    </row>
    <row r="592" spans="1:7" s="43" customFormat="1" ht="22.5" customHeight="1" x14ac:dyDescent="0.15">
      <c r="A592" s="181"/>
      <c r="B592" s="19" t="s">
        <v>113</v>
      </c>
      <c r="C592" s="162">
        <v>331</v>
      </c>
      <c r="D592" s="224">
        <v>432</v>
      </c>
      <c r="E592" s="162">
        <v>195</v>
      </c>
      <c r="F592" s="162">
        <v>237</v>
      </c>
      <c r="G592" s="15"/>
    </row>
    <row r="593" spans="1:10" s="43" customFormat="1" ht="22.5" customHeight="1" x14ac:dyDescent="0.15">
      <c r="A593" s="181"/>
      <c r="B593" s="19" t="s">
        <v>114</v>
      </c>
      <c r="C593" s="162">
        <v>512</v>
      </c>
      <c r="D593" s="224">
        <v>562</v>
      </c>
      <c r="E593" s="162">
        <v>225</v>
      </c>
      <c r="F593" s="162">
        <v>337</v>
      </c>
      <c r="G593" s="15"/>
    </row>
    <row r="594" spans="1:10" s="43" customFormat="1" ht="22.5" customHeight="1" x14ac:dyDescent="0.15">
      <c r="A594" s="181"/>
      <c r="B594" s="19" t="s">
        <v>115</v>
      </c>
      <c r="C594" s="162">
        <v>478</v>
      </c>
      <c r="D594" s="224">
        <v>552</v>
      </c>
      <c r="E594" s="162">
        <v>276</v>
      </c>
      <c r="F594" s="162">
        <v>276</v>
      </c>
      <c r="G594" s="15"/>
    </row>
    <row r="595" spans="1:10" s="43" customFormat="1" ht="22.5" customHeight="1" x14ac:dyDescent="0.15">
      <c r="A595" s="181"/>
      <c r="B595" s="19" t="s">
        <v>116</v>
      </c>
      <c r="C595" s="162">
        <v>480</v>
      </c>
      <c r="D595" s="224">
        <v>1171</v>
      </c>
      <c r="E595" s="162">
        <v>569</v>
      </c>
      <c r="F595" s="162">
        <v>602</v>
      </c>
      <c r="G595" s="15"/>
    </row>
    <row r="596" spans="1:10" s="43" customFormat="1" ht="22.5" customHeight="1" x14ac:dyDescent="0.15">
      <c r="A596" s="181"/>
      <c r="B596" s="19" t="s">
        <v>117</v>
      </c>
      <c r="C596" s="162">
        <v>445</v>
      </c>
      <c r="D596" s="224">
        <v>1154</v>
      </c>
      <c r="E596" s="162">
        <v>579</v>
      </c>
      <c r="F596" s="162">
        <v>575</v>
      </c>
      <c r="G596" s="15"/>
    </row>
    <row r="597" spans="1:10" s="43" customFormat="1" ht="22.5" customHeight="1" x14ac:dyDescent="0.15">
      <c r="A597" s="181"/>
      <c r="B597" s="19" t="s">
        <v>118</v>
      </c>
      <c r="C597" s="162">
        <v>489</v>
      </c>
      <c r="D597" s="224">
        <v>1176</v>
      </c>
      <c r="E597" s="162">
        <v>573</v>
      </c>
      <c r="F597" s="162">
        <v>603</v>
      </c>
      <c r="G597" s="15"/>
    </row>
    <row r="598" spans="1:10" s="43" customFormat="1" ht="22.5" customHeight="1" x14ac:dyDescent="0.15">
      <c r="A598" s="181"/>
      <c r="B598" s="19" t="s">
        <v>119</v>
      </c>
      <c r="C598" s="162">
        <v>512</v>
      </c>
      <c r="D598" s="224">
        <v>1308</v>
      </c>
      <c r="E598" s="162">
        <v>629</v>
      </c>
      <c r="F598" s="162">
        <v>679</v>
      </c>
      <c r="G598" s="15"/>
    </row>
    <row r="599" spans="1:10" s="43" customFormat="1" ht="22.5" customHeight="1" x14ac:dyDescent="0.15">
      <c r="A599" s="181"/>
      <c r="B599" s="19" t="s">
        <v>120</v>
      </c>
      <c r="C599" s="162">
        <v>553</v>
      </c>
      <c r="D599" s="224">
        <v>1338</v>
      </c>
      <c r="E599" s="162">
        <v>628</v>
      </c>
      <c r="F599" s="162">
        <v>710</v>
      </c>
      <c r="G599" s="15"/>
    </row>
    <row r="600" spans="1:10" s="43" customFormat="1" ht="22.5" customHeight="1" x14ac:dyDescent="0.15">
      <c r="A600" s="181"/>
      <c r="B600" s="19" t="s">
        <v>121</v>
      </c>
      <c r="C600" s="162">
        <v>468</v>
      </c>
      <c r="D600" s="224">
        <v>1185</v>
      </c>
      <c r="E600" s="162">
        <v>583</v>
      </c>
      <c r="F600" s="162">
        <v>602</v>
      </c>
      <c r="G600" s="15"/>
    </row>
    <row r="601" spans="1:10" s="43" customFormat="1" ht="22.5" customHeight="1" x14ac:dyDescent="0.15">
      <c r="A601" s="181"/>
      <c r="B601" s="19" t="s">
        <v>451</v>
      </c>
      <c r="C601" s="162">
        <v>274</v>
      </c>
      <c r="D601" s="224">
        <v>478</v>
      </c>
      <c r="E601" s="162">
        <v>219</v>
      </c>
      <c r="F601" s="162">
        <v>259</v>
      </c>
      <c r="G601" s="15"/>
    </row>
    <row r="602" spans="1:10" s="43" customFormat="1" ht="22.5" customHeight="1" x14ac:dyDescent="0.15">
      <c r="A602" s="181"/>
      <c r="B602" s="19" t="s">
        <v>449</v>
      </c>
      <c r="C602" s="162">
        <v>596</v>
      </c>
      <c r="D602" s="224">
        <v>1631</v>
      </c>
      <c r="E602" s="162">
        <v>794</v>
      </c>
      <c r="F602" s="162">
        <v>837</v>
      </c>
      <c r="G602" s="10"/>
    </row>
    <row r="603" spans="1:10" s="43" customFormat="1" ht="22.5" customHeight="1" thickBot="1" x14ac:dyDescent="0.2">
      <c r="A603" s="192"/>
      <c r="B603" s="19" t="s">
        <v>125</v>
      </c>
      <c r="C603" s="135">
        <v>562</v>
      </c>
      <c r="D603" s="224">
        <v>1332</v>
      </c>
      <c r="E603" s="135">
        <v>653</v>
      </c>
      <c r="F603" s="135">
        <v>679</v>
      </c>
      <c r="G603" s="23"/>
    </row>
    <row r="604" spans="1:10" s="43" customFormat="1" ht="34.5" customHeight="1" thickTop="1" thickBot="1" x14ac:dyDescent="0.2">
      <c r="A604" s="4" t="s">
        <v>294</v>
      </c>
      <c r="B604" s="5" t="s">
        <v>266</v>
      </c>
      <c r="C604" s="122">
        <f>C605+C678+C723+C784+C829+C866+C896+C922+C977+C1007+C1053+C1094+C1134+C1208</f>
        <v>192247</v>
      </c>
      <c r="D604" s="122">
        <f>D605+D678+D723+D784+D829+D866+D896+D922+D977+D1007+D1053+D1094+D1134+D1208</f>
        <v>402529</v>
      </c>
      <c r="E604" s="122">
        <f>E605+E678+E723+E784+E829+E866+E896+E922+E977+E1007+E1053+E1094+E1134+E1208</f>
        <v>208059</v>
      </c>
      <c r="F604" s="122">
        <f>F605+F678+F723+F784+F829+F866+F896+F922+F977+F1007+F1053+F1094+F1134+F1208</f>
        <v>194470</v>
      </c>
      <c r="G604" s="6"/>
    </row>
    <row r="605" spans="1:10" s="43" customFormat="1" ht="22.5" customHeight="1" thickTop="1" x14ac:dyDescent="0.15">
      <c r="A605" s="180" t="s">
        <v>295</v>
      </c>
      <c r="B605" s="7" t="s">
        <v>0</v>
      </c>
      <c r="C605" s="124">
        <f>SUM(C606:C677)</f>
        <v>11136</v>
      </c>
      <c r="D605" s="125">
        <f>SUM(D606:D677)</f>
        <v>21430</v>
      </c>
      <c r="E605" s="124">
        <f>SUM(E606:E677)</f>
        <v>11138</v>
      </c>
      <c r="F605" s="124">
        <f>SUM(F606:F677)</f>
        <v>10292</v>
      </c>
      <c r="G605" s="8"/>
      <c r="J605" s="43" t="s">
        <v>259</v>
      </c>
    </row>
    <row r="606" spans="1:10" s="43" customFormat="1" ht="22.5" customHeight="1" x14ac:dyDescent="0.15">
      <c r="A606" s="182"/>
      <c r="B606" s="19" t="s">
        <v>129</v>
      </c>
      <c r="C606" s="225">
        <v>165</v>
      </c>
      <c r="D606" s="224">
        <v>298</v>
      </c>
      <c r="E606" s="226">
        <v>166</v>
      </c>
      <c r="F606" s="226">
        <v>132</v>
      </c>
      <c r="G606" s="10"/>
    </row>
    <row r="607" spans="1:10" s="43" customFormat="1" ht="22.5" customHeight="1" x14ac:dyDescent="0.15">
      <c r="A607" s="182"/>
      <c r="B607" s="19" t="s">
        <v>130</v>
      </c>
      <c r="C607" s="225">
        <v>92</v>
      </c>
      <c r="D607" s="224">
        <v>147</v>
      </c>
      <c r="E607" s="226">
        <v>87</v>
      </c>
      <c r="F607" s="226">
        <v>60</v>
      </c>
      <c r="G607" s="10"/>
    </row>
    <row r="608" spans="1:10" s="43" customFormat="1" ht="22.5" customHeight="1" x14ac:dyDescent="0.15">
      <c r="A608" s="182"/>
      <c r="B608" s="19" t="s">
        <v>131</v>
      </c>
      <c r="C608" s="225">
        <v>187</v>
      </c>
      <c r="D608" s="224">
        <v>306</v>
      </c>
      <c r="E608" s="226">
        <v>151</v>
      </c>
      <c r="F608" s="226">
        <v>155</v>
      </c>
      <c r="G608" s="10"/>
    </row>
    <row r="609" spans="1:7" s="43" customFormat="1" ht="22.5" customHeight="1" x14ac:dyDescent="0.15">
      <c r="A609" s="182"/>
      <c r="B609" s="19" t="s">
        <v>132</v>
      </c>
      <c r="C609" s="225">
        <v>381</v>
      </c>
      <c r="D609" s="224">
        <v>753</v>
      </c>
      <c r="E609" s="226">
        <v>405</v>
      </c>
      <c r="F609" s="226">
        <v>348</v>
      </c>
      <c r="G609" s="10"/>
    </row>
    <row r="610" spans="1:7" s="43" customFormat="1" ht="22.5" customHeight="1" x14ac:dyDescent="0.15">
      <c r="A610" s="182"/>
      <c r="B610" s="19" t="s">
        <v>133</v>
      </c>
      <c r="C610" s="225">
        <v>225</v>
      </c>
      <c r="D610" s="224">
        <v>420</v>
      </c>
      <c r="E610" s="226">
        <v>198</v>
      </c>
      <c r="F610" s="226">
        <v>222</v>
      </c>
      <c r="G610" s="10"/>
    </row>
    <row r="611" spans="1:7" s="43" customFormat="1" ht="22.5" customHeight="1" x14ac:dyDescent="0.15">
      <c r="A611" s="182"/>
      <c r="B611" s="19" t="s">
        <v>134</v>
      </c>
      <c r="C611" s="225">
        <v>455</v>
      </c>
      <c r="D611" s="224">
        <v>852</v>
      </c>
      <c r="E611" s="226">
        <v>430</v>
      </c>
      <c r="F611" s="226">
        <v>422</v>
      </c>
      <c r="G611" s="10"/>
    </row>
    <row r="612" spans="1:7" s="43" customFormat="1" ht="22.5" customHeight="1" x14ac:dyDescent="0.15">
      <c r="A612" s="182"/>
      <c r="B612" s="19" t="s">
        <v>135</v>
      </c>
      <c r="C612" s="225">
        <v>93</v>
      </c>
      <c r="D612" s="224">
        <v>160</v>
      </c>
      <c r="E612" s="226">
        <v>74</v>
      </c>
      <c r="F612" s="226">
        <v>86</v>
      </c>
      <c r="G612" s="10"/>
    </row>
    <row r="613" spans="1:7" s="43" customFormat="1" ht="22.5" customHeight="1" x14ac:dyDescent="0.15">
      <c r="A613" s="182"/>
      <c r="B613" s="19" t="s">
        <v>136</v>
      </c>
      <c r="C613" s="225">
        <v>98</v>
      </c>
      <c r="D613" s="224">
        <v>166</v>
      </c>
      <c r="E613" s="226">
        <v>88</v>
      </c>
      <c r="F613" s="226">
        <v>78</v>
      </c>
      <c r="G613" s="10"/>
    </row>
    <row r="614" spans="1:7" s="43" customFormat="1" ht="22.5" customHeight="1" x14ac:dyDescent="0.15">
      <c r="A614" s="182"/>
      <c r="B614" s="19" t="s">
        <v>137</v>
      </c>
      <c r="C614" s="225">
        <v>245</v>
      </c>
      <c r="D614" s="224">
        <v>389</v>
      </c>
      <c r="E614" s="226">
        <v>204</v>
      </c>
      <c r="F614" s="226">
        <v>185</v>
      </c>
      <c r="G614" s="10"/>
    </row>
    <row r="615" spans="1:7" s="43" customFormat="1" ht="22.5" customHeight="1" x14ac:dyDescent="0.15">
      <c r="A615" s="182"/>
      <c r="B615" s="19" t="s">
        <v>138</v>
      </c>
      <c r="C615" s="225">
        <v>119</v>
      </c>
      <c r="D615" s="224">
        <v>227</v>
      </c>
      <c r="E615" s="226">
        <v>116</v>
      </c>
      <c r="F615" s="226">
        <v>111</v>
      </c>
      <c r="G615" s="10"/>
    </row>
    <row r="616" spans="1:7" s="43" customFormat="1" ht="22.5" customHeight="1" x14ac:dyDescent="0.15">
      <c r="A616" s="182"/>
      <c r="B616" s="19" t="s">
        <v>139</v>
      </c>
      <c r="C616" s="225">
        <v>354</v>
      </c>
      <c r="D616" s="224">
        <v>581</v>
      </c>
      <c r="E616" s="226">
        <v>332</v>
      </c>
      <c r="F616" s="226">
        <v>249</v>
      </c>
      <c r="G616" s="10"/>
    </row>
    <row r="617" spans="1:7" s="43" customFormat="1" ht="22.5" customHeight="1" x14ac:dyDescent="0.15">
      <c r="A617" s="182"/>
      <c r="B617" s="21" t="s">
        <v>140</v>
      </c>
      <c r="C617" s="225">
        <v>291</v>
      </c>
      <c r="D617" s="224">
        <v>505</v>
      </c>
      <c r="E617" s="226">
        <v>269</v>
      </c>
      <c r="F617" s="226">
        <v>236</v>
      </c>
      <c r="G617" s="10"/>
    </row>
    <row r="618" spans="1:7" s="43" customFormat="1" ht="22.5" customHeight="1" x14ac:dyDescent="0.15">
      <c r="A618" s="182"/>
      <c r="B618" s="19" t="s">
        <v>141</v>
      </c>
      <c r="C618" s="225">
        <v>445</v>
      </c>
      <c r="D618" s="224">
        <v>693</v>
      </c>
      <c r="E618" s="226">
        <v>385</v>
      </c>
      <c r="F618" s="226">
        <v>308</v>
      </c>
      <c r="G618" s="10"/>
    </row>
    <row r="619" spans="1:7" s="43" customFormat="1" ht="22.5" customHeight="1" x14ac:dyDescent="0.15">
      <c r="A619" s="182"/>
      <c r="B619" s="19" t="s">
        <v>142</v>
      </c>
      <c r="C619" s="225">
        <v>204</v>
      </c>
      <c r="D619" s="224">
        <v>266</v>
      </c>
      <c r="E619" s="226">
        <v>139</v>
      </c>
      <c r="F619" s="226">
        <v>127</v>
      </c>
      <c r="G619" s="10"/>
    </row>
    <row r="620" spans="1:7" s="43" customFormat="1" ht="22.5" customHeight="1" x14ac:dyDescent="0.15">
      <c r="A620" s="182"/>
      <c r="B620" s="19" t="s">
        <v>143</v>
      </c>
      <c r="C620" s="225">
        <v>321</v>
      </c>
      <c r="D620" s="224">
        <v>621</v>
      </c>
      <c r="E620" s="226">
        <v>293</v>
      </c>
      <c r="F620" s="226">
        <v>328</v>
      </c>
      <c r="G620" s="10"/>
    </row>
    <row r="621" spans="1:7" s="43" customFormat="1" ht="22.5" customHeight="1" x14ac:dyDescent="0.15">
      <c r="A621" s="182"/>
      <c r="B621" s="19" t="s">
        <v>296</v>
      </c>
      <c r="C621" s="225">
        <v>207</v>
      </c>
      <c r="D621" s="224">
        <v>358</v>
      </c>
      <c r="E621" s="226">
        <v>197</v>
      </c>
      <c r="F621" s="226">
        <v>161</v>
      </c>
      <c r="G621" s="10"/>
    </row>
    <row r="622" spans="1:7" s="43" customFormat="1" ht="22.5" customHeight="1" x14ac:dyDescent="0.15">
      <c r="A622" s="182"/>
      <c r="B622" s="19" t="s">
        <v>144</v>
      </c>
      <c r="C622" s="225">
        <v>111</v>
      </c>
      <c r="D622" s="224">
        <v>193</v>
      </c>
      <c r="E622" s="226">
        <v>100</v>
      </c>
      <c r="F622" s="226">
        <v>93</v>
      </c>
      <c r="G622" s="10"/>
    </row>
    <row r="623" spans="1:7" s="43" customFormat="1" ht="22.5" customHeight="1" x14ac:dyDescent="0.15">
      <c r="A623" s="182"/>
      <c r="B623" s="19" t="s">
        <v>145</v>
      </c>
      <c r="C623" s="225">
        <v>312</v>
      </c>
      <c r="D623" s="224">
        <v>589</v>
      </c>
      <c r="E623" s="226">
        <v>315</v>
      </c>
      <c r="F623" s="226">
        <v>274</v>
      </c>
      <c r="G623" s="10"/>
    </row>
    <row r="624" spans="1:7" s="43" customFormat="1" ht="22.5" customHeight="1" x14ac:dyDescent="0.15">
      <c r="A624" s="182"/>
      <c r="B624" s="21" t="s">
        <v>146</v>
      </c>
      <c r="C624" s="225">
        <v>108</v>
      </c>
      <c r="D624" s="224">
        <v>197</v>
      </c>
      <c r="E624" s="226">
        <v>114</v>
      </c>
      <c r="F624" s="226">
        <v>83</v>
      </c>
      <c r="G624" s="10"/>
    </row>
    <row r="625" spans="1:7" s="43" customFormat="1" ht="22.5" customHeight="1" x14ac:dyDescent="0.15">
      <c r="A625" s="182"/>
      <c r="B625" s="19" t="s">
        <v>147</v>
      </c>
      <c r="C625" s="225">
        <v>315</v>
      </c>
      <c r="D625" s="224">
        <v>547</v>
      </c>
      <c r="E625" s="226">
        <v>274</v>
      </c>
      <c r="F625" s="226">
        <v>273</v>
      </c>
      <c r="G625" s="10"/>
    </row>
    <row r="626" spans="1:7" s="43" customFormat="1" ht="22.5" customHeight="1" x14ac:dyDescent="0.15">
      <c r="A626" s="182"/>
      <c r="B626" s="19" t="s">
        <v>148</v>
      </c>
      <c r="C626" s="225">
        <v>194</v>
      </c>
      <c r="D626" s="224">
        <v>435</v>
      </c>
      <c r="E626" s="226">
        <v>199</v>
      </c>
      <c r="F626" s="226">
        <v>236</v>
      </c>
      <c r="G626" s="10"/>
    </row>
    <row r="627" spans="1:7" s="43" customFormat="1" ht="22.5" customHeight="1" x14ac:dyDescent="0.15">
      <c r="A627" s="182"/>
      <c r="B627" s="19" t="s">
        <v>149</v>
      </c>
      <c r="C627" s="225">
        <v>52</v>
      </c>
      <c r="D627" s="224">
        <v>104</v>
      </c>
      <c r="E627" s="226">
        <v>52</v>
      </c>
      <c r="F627" s="226">
        <v>52</v>
      </c>
      <c r="G627" s="10"/>
    </row>
    <row r="628" spans="1:7" s="43" customFormat="1" ht="22.5" customHeight="1" x14ac:dyDescent="0.15">
      <c r="A628" s="182"/>
      <c r="B628" s="19" t="s">
        <v>150</v>
      </c>
      <c r="C628" s="225">
        <v>337</v>
      </c>
      <c r="D628" s="224">
        <v>613</v>
      </c>
      <c r="E628" s="226">
        <v>314</v>
      </c>
      <c r="F628" s="226">
        <v>299</v>
      </c>
      <c r="G628" s="10"/>
    </row>
    <row r="629" spans="1:7" s="43" customFormat="1" ht="22.5" customHeight="1" x14ac:dyDescent="0.15">
      <c r="A629" s="182"/>
      <c r="B629" s="19" t="s">
        <v>151</v>
      </c>
      <c r="C629" s="225">
        <v>350</v>
      </c>
      <c r="D629" s="224">
        <v>687</v>
      </c>
      <c r="E629" s="226">
        <v>341</v>
      </c>
      <c r="F629" s="226">
        <v>346</v>
      </c>
      <c r="G629" s="10"/>
    </row>
    <row r="630" spans="1:7" s="43" customFormat="1" ht="22.5" customHeight="1" x14ac:dyDescent="0.15">
      <c r="A630" s="182"/>
      <c r="B630" s="19" t="s">
        <v>152</v>
      </c>
      <c r="C630" s="225">
        <v>417</v>
      </c>
      <c r="D630" s="224">
        <v>1117</v>
      </c>
      <c r="E630" s="226">
        <v>570</v>
      </c>
      <c r="F630" s="226">
        <v>547</v>
      </c>
      <c r="G630" s="10"/>
    </row>
    <row r="631" spans="1:7" s="43" customFormat="1" ht="22.5" customHeight="1" x14ac:dyDescent="0.15">
      <c r="A631" s="182"/>
      <c r="B631" s="19" t="s">
        <v>153</v>
      </c>
      <c r="C631" s="225">
        <v>149</v>
      </c>
      <c r="D631" s="224">
        <v>423</v>
      </c>
      <c r="E631" s="226">
        <v>219</v>
      </c>
      <c r="F631" s="226">
        <v>204</v>
      </c>
      <c r="G631" s="10"/>
    </row>
    <row r="632" spans="1:7" s="43" customFormat="1" ht="22.5" customHeight="1" x14ac:dyDescent="0.15">
      <c r="A632" s="182"/>
      <c r="B632" s="19" t="s">
        <v>154</v>
      </c>
      <c r="C632" s="225">
        <v>196</v>
      </c>
      <c r="D632" s="224">
        <v>389</v>
      </c>
      <c r="E632" s="226">
        <v>181</v>
      </c>
      <c r="F632" s="226">
        <v>208</v>
      </c>
      <c r="G632" s="10"/>
    </row>
    <row r="633" spans="1:7" s="43" customFormat="1" ht="22.5" customHeight="1" x14ac:dyDescent="0.15">
      <c r="A633" s="182"/>
      <c r="B633" s="19" t="s">
        <v>155</v>
      </c>
      <c r="C633" s="225">
        <v>558</v>
      </c>
      <c r="D633" s="224">
        <v>1623</v>
      </c>
      <c r="E633" s="226">
        <v>815</v>
      </c>
      <c r="F633" s="226">
        <v>808</v>
      </c>
      <c r="G633" s="10"/>
    </row>
    <row r="634" spans="1:7" s="43" customFormat="1" ht="22.5" customHeight="1" x14ac:dyDescent="0.15">
      <c r="A634" s="182"/>
      <c r="B634" s="19" t="s">
        <v>156</v>
      </c>
      <c r="C634" s="225">
        <v>131</v>
      </c>
      <c r="D634" s="224">
        <v>282</v>
      </c>
      <c r="E634" s="226">
        <v>132</v>
      </c>
      <c r="F634" s="226">
        <v>150</v>
      </c>
      <c r="G634" s="10"/>
    </row>
    <row r="635" spans="1:7" s="43" customFormat="1" ht="22.5" customHeight="1" x14ac:dyDescent="0.15">
      <c r="A635" s="182"/>
      <c r="B635" s="19" t="s">
        <v>157</v>
      </c>
      <c r="C635" s="225">
        <v>152</v>
      </c>
      <c r="D635" s="224">
        <v>283</v>
      </c>
      <c r="E635" s="226">
        <v>153</v>
      </c>
      <c r="F635" s="226">
        <v>130</v>
      </c>
      <c r="G635" s="10"/>
    </row>
    <row r="636" spans="1:7" s="43" customFormat="1" ht="22.5" customHeight="1" x14ac:dyDescent="0.15">
      <c r="A636" s="182"/>
      <c r="B636" s="19" t="s">
        <v>158</v>
      </c>
      <c r="C636" s="225">
        <v>37</v>
      </c>
      <c r="D636" s="224">
        <v>65</v>
      </c>
      <c r="E636" s="226">
        <v>34</v>
      </c>
      <c r="F636" s="226">
        <v>31</v>
      </c>
      <c r="G636" s="10"/>
    </row>
    <row r="637" spans="1:7" s="43" customFormat="1" ht="22.5" customHeight="1" x14ac:dyDescent="0.15">
      <c r="A637" s="182"/>
      <c r="B637" s="19" t="s">
        <v>159</v>
      </c>
      <c r="C637" s="225">
        <v>390</v>
      </c>
      <c r="D637" s="224">
        <v>604</v>
      </c>
      <c r="E637" s="226">
        <v>342</v>
      </c>
      <c r="F637" s="226">
        <v>262</v>
      </c>
      <c r="G637" s="10"/>
    </row>
    <row r="638" spans="1:7" s="43" customFormat="1" ht="22.5" customHeight="1" x14ac:dyDescent="0.15">
      <c r="A638" s="182"/>
      <c r="B638" s="19" t="s">
        <v>160</v>
      </c>
      <c r="C638" s="225">
        <v>423</v>
      </c>
      <c r="D638" s="224">
        <v>900</v>
      </c>
      <c r="E638" s="226">
        <v>465</v>
      </c>
      <c r="F638" s="226">
        <v>435</v>
      </c>
      <c r="G638" s="10"/>
    </row>
    <row r="639" spans="1:7" s="43" customFormat="1" ht="22.5" customHeight="1" x14ac:dyDescent="0.15">
      <c r="A639" s="182"/>
      <c r="B639" s="19" t="s">
        <v>161</v>
      </c>
      <c r="C639" s="225">
        <v>170</v>
      </c>
      <c r="D639" s="224">
        <v>374</v>
      </c>
      <c r="E639" s="226">
        <v>200</v>
      </c>
      <c r="F639" s="226">
        <v>174</v>
      </c>
      <c r="G639" s="10"/>
    </row>
    <row r="640" spans="1:7" s="43" customFormat="1" ht="22.5" customHeight="1" x14ac:dyDescent="0.15">
      <c r="A640" s="182"/>
      <c r="B640" s="19" t="s">
        <v>162</v>
      </c>
      <c r="C640" s="225">
        <v>170</v>
      </c>
      <c r="D640" s="224">
        <v>322</v>
      </c>
      <c r="E640" s="226">
        <v>166</v>
      </c>
      <c r="F640" s="226">
        <v>156</v>
      </c>
      <c r="G640" s="10"/>
    </row>
    <row r="641" spans="1:7" s="43" customFormat="1" ht="22.5" customHeight="1" x14ac:dyDescent="0.15">
      <c r="A641" s="182"/>
      <c r="B641" s="19" t="s">
        <v>163</v>
      </c>
      <c r="C641" s="225">
        <v>69</v>
      </c>
      <c r="D641" s="224">
        <v>125</v>
      </c>
      <c r="E641" s="226">
        <v>68</v>
      </c>
      <c r="F641" s="226">
        <v>57</v>
      </c>
      <c r="G641" s="10"/>
    </row>
    <row r="642" spans="1:7" s="43" customFormat="1" ht="22.5" customHeight="1" x14ac:dyDescent="0.15">
      <c r="A642" s="182"/>
      <c r="B642" s="19" t="s">
        <v>164</v>
      </c>
      <c r="C642" s="225">
        <v>48</v>
      </c>
      <c r="D642" s="224">
        <v>92</v>
      </c>
      <c r="E642" s="226">
        <v>54</v>
      </c>
      <c r="F642" s="226">
        <v>38</v>
      </c>
      <c r="G642" s="10"/>
    </row>
    <row r="643" spans="1:7" s="43" customFormat="1" ht="22.5" customHeight="1" x14ac:dyDescent="0.15">
      <c r="A643" s="182"/>
      <c r="B643" s="19" t="s">
        <v>165</v>
      </c>
      <c r="C643" s="225">
        <v>35</v>
      </c>
      <c r="D643" s="224">
        <v>61</v>
      </c>
      <c r="E643" s="227">
        <v>34</v>
      </c>
      <c r="F643" s="227">
        <v>27</v>
      </c>
      <c r="G643" s="10"/>
    </row>
    <row r="644" spans="1:7" s="43" customFormat="1" ht="22.5" customHeight="1" x14ac:dyDescent="0.15">
      <c r="A644" s="182"/>
      <c r="B644" s="19" t="s">
        <v>166</v>
      </c>
      <c r="C644" s="225">
        <v>18</v>
      </c>
      <c r="D644" s="224">
        <v>33</v>
      </c>
      <c r="E644" s="227">
        <v>17</v>
      </c>
      <c r="F644" s="227">
        <v>16</v>
      </c>
      <c r="G644" s="10"/>
    </row>
    <row r="645" spans="1:7" s="43" customFormat="1" ht="22.5" customHeight="1" x14ac:dyDescent="0.15">
      <c r="A645" s="182"/>
      <c r="B645" s="19" t="s">
        <v>167</v>
      </c>
      <c r="C645" s="225">
        <v>115</v>
      </c>
      <c r="D645" s="224">
        <v>230</v>
      </c>
      <c r="E645" s="227">
        <v>124</v>
      </c>
      <c r="F645" s="227">
        <v>106</v>
      </c>
      <c r="G645" s="10"/>
    </row>
    <row r="646" spans="1:7" s="43" customFormat="1" ht="22.5" customHeight="1" x14ac:dyDescent="0.15">
      <c r="A646" s="182"/>
      <c r="B646" s="19" t="s">
        <v>168</v>
      </c>
      <c r="C646" s="225">
        <v>48</v>
      </c>
      <c r="D646" s="224">
        <v>90</v>
      </c>
      <c r="E646" s="227">
        <v>44</v>
      </c>
      <c r="F646" s="227">
        <v>46</v>
      </c>
      <c r="G646" s="10"/>
    </row>
    <row r="647" spans="1:7" s="43" customFormat="1" ht="22.5" customHeight="1" x14ac:dyDescent="0.15">
      <c r="A647" s="182"/>
      <c r="B647" s="21" t="s">
        <v>169</v>
      </c>
      <c r="C647" s="225">
        <v>170</v>
      </c>
      <c r="D647" s="224">
        <v>334</v>
      </c>
      <c r="E647" s="227">
        <v>176</v>
      </c>
      <c r="F647" s="227">
        <v>158</v>
      </c>
      <c r="G647" s="10"/>
    </row>
    <row r="648" spans="1:7" s="43" customFormat="1" ht="22.5" customHeight="1" x14ac:dyDescent="0.15">
      <c r="A648" s="182"/>
      <c r="B648" s="19" t="s">
        <v>170</v>
      </c>
      <c r="C648" s="225">
        <v>72</v>
      </c>
      <c r="D648" s="224">
        <v>139</v>
      </c>
      <c r="E648" s="227">
        <v>71</v>
      </c>
      <c r="F648" s="227">
        <v>68</v>
      </c>
      <c r="G648" s="10"/>
    </row>
    <row r="649" spans="1:7" s="43" customFormat="1" ht="22.5" customHeight="1" x14ac:dyDescent="0.15">
      <c r="A649" s="182"/>
      <c r="B649" s="21" t="s">
        <v>171</v>
      </c>
      <c r="C649" s="225">
        <v>114</v>
      </c>
      <c r="D649" s="224">
        <v>220</v>
      </c>
      <c r="E649" s="227">
        <v>108</v>
      </c>
      <c r="F649" s="227">
        <v>112</v>
      </c>
      <c r="G649" s="10"/>
    </row>
    <row r="650" spans="1:7" s="43" customFormat="1" ht="22.5" customHeight="1" x14ac:dyDescent="0.15">
      <c r="A650" s="182"/>
      <c r="B650" s="19" t="s">
        <v>172</v>
      </c>
      <c r="C650" s="225">
        <v>119</v>
      </c>
      <c r="D650" s="224">
        <v>225</v>
      </c>
      <c r="E650" s="227">
        <v>123</v>
      </c>
      <c r="F650" s="227">
        <v>102</v>
      </c>
      <c r="G650" s="10"/>
    </row>
    <row r="651" spans="1:7" s="43" customFormat="1" ht="22.5" customHeight="1" x14ac:dyDescent="0.15">
      <c r="A651" s="182"/>
      <c r="B651" s="19" t="s">
        <v>771</v>
      </c>
      <c r="C651" s="225">
        <v>62</v>
      </c>
      <c r="D651" s="224">
        <v>115</v>
      </c>
      <c r="E651" s="227">
        <v>65</v>
      </c>
      <c r="F651" s="227">
        <v>50</v>
      </c>
      <c r="G651" s="10"/>
    </row>
    <row r="652" spans="1:7" s="43" customFormat="1" ht="22.5" customHeight="1" x14ac:dyDescent="0.15">
      <c r="A652" s="182"/>
      <c r="B652" s="19" t="s">
        <v>772</v>
      </c>
      <c r="C652" s="225">
        <v>32</v>
      </c>
      <c r="D652" s="224">
        <v>66</v>
      </c>
      <c r="E652" s="227">
        <v>36</v>
      </c>
      <c r="F652" s="227">
        <v>30</v>
      </c>
      <c r="G652" s="10"/>
    </row>
    <row r="653" spans="1:7" s="43" customFormat="1" ht="22.5" customHeight="1" x14ac:dyDescent="0.15">
      <c r="A653" s="182"/>
      <c r="B653" s="19" t="s">
        <v>173</v>
      </c>
      <c r="C653" s="225">
        <v>61</v>
      </c>
      <c r="D653" s="224">
        <v>102</v>
      </c>
      <c r="E653" s="227">
        <v>47</v>
      </c>
      <c r="F653" s="227">
        <v>55</v>
      </c>
      <c r="G653" s="10"/>
    </row>
    <row r="654" spans="1:7" s="43" customFormat="1" ht="22.5" customHeight="1" x14ac:dyDescent="0.15">
      <c r="A654" s="182"/>
      <c r="B654" s="19" t="s">
        <v>174</v>
      </c>
      <c r="C654" s="225">
        <v>35</v>
      </c>
      <c r="D654" s="224">
        <v>62</v>
      </c>
      <c r="E654" s="227">
        <v>31</v>
      </c>
      <c r="F654" s="227">
        <v>31</v>
      </c>
      <c r="G654" s="10"/>
    </row>
    <row r="655" spans="1:7" s="43" customFormat="1" ht="22.5" customHeight="1" x14ac:dyDescent="0.15">
      <c r="A655" s="182"/>
      <c r="B655" s="19" t="s">
        <v>175</v>
      </c>
      <c r="C655" s="225">
        <v>57</v>
      </c>
      <c r="D655" s="224">
        <v>109</v>
      </c>
      <c r="E655" s="227">
        <v>57</v>
      </c>
      <c r="F655" s="227">
        <v>52</v>
      </c>
      <c r="G655" s="10"/>
    </row>
    <row r="656" spans="1:7" s="43" customFormat="1" ht="22.5" customHeight="1" x14ac:dyDescent="0.15">
      <c r="A656" s="182"/>
      <c r="B656" s="19" t="s">
        <v>176</v>
      </c>
      <c r="C656" s="225">
        <v>38</v>
      </c>
      <c r="D656" s="224">
        <v>71</v>
      </c>
      <c r="E656" s="227">
        <v>39</v>
      </c>
      <c r="F656" s="227">
        <v>32</v>
      </c>
      <c r="G656" s="10"/>
    </row>
    <row r="657" spans="1:7" s="43" customFormat="1" ht="22.5" customHeight="1" x14ac:dyDescent="0.15">
      <c r="A657" s="182"/>
      <c r="B657" s="19" t="s">
        <v>177</v>
      </c>
      <c r="C657" s="225">
        <v>40</v>
      </c>
      <c r="D657" s="224">
        <v>83</v>
      </c>
      <c r="E657" s="227">
        <v>45</v>
      </c>
      <c r="F657" s="227">
        <v>38</v>
      </c>
      <c r="G657" s="10"/>
    </row>
    <row r="658" spans="1:7" s="43" customFormat="1" ht="22.5" customHeight="1" x14ac:dyDescent="0.15">
      <c r="A658" s="182"/>
      <c r="B658" s="19" t="s">
        <v>178</v>
      </c>
      <c r="C658" s="225">
        <v>85</v>
      </c>
      <c r="D658" s="224">
        <v>182</v>
      </c>
      <c r="E658" s="227">
        <v>93</v>
      </c>
      <c r="F658" s="227">
        <v>89</v>
      </c>
      <c r="G658" s="10"/>
    </row>
    <row r="659" spans="1:7" s="43" customFormat="1" ht="22.5" customHeight="1" x14ac:dyDescent="0.15">
      <c r="A659" s="182"/>
      <c r="B659" s="19" t="s">
        <v>179</v>
      </c>
      <c r="C659" s="225">
        <v>39</v>
      </c>
      <c r="D659" s="224">
        <v>79</v>
      </c>
      <c r="E659" s="227">
        <v>45</v>
      </c>
      <c r="F659" s="227">
        <v>34</v>
      </c>
      <c r="G659" s="10"/>
    </row>
    <row r="660" spans="1:7" s="43" customFormat="1" ht="22.5" customHeight="1" x14ac:dyDescent="0.15">
      <c r="A660" s="182"/>
      <c r="B660" s="19" t="s">
        <v>180</v>
      </c>
      <c r="C660" s="225">
        <v>78</v>
      </c>
      <c r="D660" s="224">
        <v>157</v>
      </c>
      <c r="E660" s="227">
        <v>82</v>
      </c>
      <c r="F660" s="227">
        <v>75</v>
      </c>
      <c r="G660" s="10"/>
    </row>
    <row r="661" spans="1:7" s="43" customFormat="1" ht="22.5" customHeight="1" x14ac:dyDescent="0.15">
      <c r="A661" s="182"/>
      <c r="B661" s="19" t="s">
        <v>181</v>
      </c>
      <c r="C661" s="225">
        <v>72</v>
      </c>
      <c r="D661" s="224">
        <v>140</v>
      </c>
      <c r="E661" s="227">
        <v>79</v>
      </c>
      <c r="F661" s="227">
        <v>61</v>
      </c>
      <c r="G661" s="10"/>
    </row>
    <row r="662" spans="1:7" s="43" customFormat="1" ht="22.5" customHeight="1" x14ac:dyDescent="0.15">
      <c r="A662" s="182"/>
      <c r="B662" s="19" t="s">
        <v>182</v>
      </c>
      <c r="C662" s="225">
        <v>84</v>
      </c>
      <c r="D662" s="224">
        <v>154</v>
      </c>
      <c r="E662" s="227">
        <v>80</v>
      </c>
      <c r="F662" s="227">
        <v>74</v>
      </c>
      <c r="G662" s="10"/>
    </row>
    <row r="663" spans="1:7" s="43" customFormat="1" ht="22.5" customHeight="1" x14ac:dyDescent="0.15">
      <c r="A663" s="182"/>
      <c r="B663" s="19" t="s">
        <v>183</v>
      </c>
      <c r="C663" s="225">
        <v>79</v>
      </c>
      <c r="D663" s="224">
        <v>136</v>
      </c>
      <c r="E663" s="227">
        <v>74</v>
      </c>
      <c r="F663" s="227">
        <v>62</v>
      </c>
      <c r="G663" s="10"/>
    </row>
    <row r="664" spans="1:7" s="43" customFormat="1" ht="22.5" customHeight="1" x14ac:dyDescent="0.15">
      <c r="A664" s="182"/>
      <c r="B664" s="19" t="s">
        <v>184</v>
      </c>
      <c r="C664" s="225">
        <v>157</v>
      </c>
      <c r="D664" s="224">
        <v>251</v>
      </c>
      <c r="E664" s="227">
        <v>117</v>
      </c>
      <c r="F664" s="227">
        <v>134</v>
      </c>
      <c r="G664" s="10"/>
    </row>
    <row r="665" spans="1:7" s="43" customFormat="1" ht="22.5" customHeight="1" x14ac:dyDescent="0.15">
      <c r="A665" s="182"/>
      <c r="B665" s="19" t="s">
        <v>185</v>
      </c>
      <c r="C665" s="225">
        <v>144</v>
      </c>
      <c r="D665" s="224">
        <v>268</v>
      </c>
      <c r="E665" s="227">
        <v>134</v>
      </c>
      <c r="F665" s="227">
        <v>134</v>
      </c>
      <c r="G665" s="10"/>
    </row>
    <row r="666" spans="1:7" s="43" customFormat="1" ht="22.5" customHeight="1" x14ac:dyDescent="0.15">
      <c r="A666" s="182"/>
      <c r="B666" s="19" t="s">
        <v>186</v>
      </c>
      <c r="C666" s="225">
        <v>42</v>
      </c>
      <c r="D666" s="224">
        <v>68</v>
      </c>
      <c r="E666" s="227">
        <v>39</v>
      </c>
      <c r="F666" s="227">
        <v>29</v>
      </c>
      <c r="G666" s="10"/>
    </row>
    <row r="667" spans="1:7" s="43" customFormat="1" ht="22.5" customHeight="1" x14ac:dyDescent="0.15">
      <c r="A667" s="182"/>
      <c r="B667" s="19" t="s">
        <v>187</v>
      </c>
      <c r="C667" s="225">
        <v>42</v>
      </c>
      <c r="D667" s="224">
        <v>74</v>
      </c>
      <c r="E667" s="227">
        <v>38</v>
      </c>
      <c r="F667" s="227">
        <v>36</v>
      </c>
      <c r="G667" s="10"/>
    </row>
    <row r="668" spans="1:7" s="43" customFormat="1" ht="22.5" customHeight="1" x14ac:dyDescent="0.15">
      <c r="A668" s="182"/>
      <c r="B668" s="19" t="s">
        <v>188</v>
      </c>
      <c r="C668" s="225">
        <v>55</v>
      </c>
      <c r="D668" s="224">
        <v>97</v>
      </c>
      <c r="E668" s="227">
        <v>48</v>
      </c>
      <c r="F668" s="227">
        <v>49</v>
      </c>
      <c r="G668" s="10"/>
    </row>
    <row r="669" spans="1:7" s="43" customFormat="1" ht="22.5" customHeight="1" x14ac:dyDescent="0.15">
      <c r="A669" s="182"/>
      <c r="B669" s="21" t="s">
        <v>189</v>
      </c>
      <c r="C669" s="225">
        <v>79</v>
      </c>
      <c r="D669" s="224">
        <v>144</v>
      </c>
      <c r="E669" s="227">
        <v>76</v>
      </c>
      <c r="F669" s="227">
        <v>68</v>
      </c>
      <c r="G669" s="10"/>
    </row>
    <row r="670" spans="1:7" s="43" customFormat="1" ht="22.5" customHeight="1" x14ac:dyDescent="0.15">
      <c r="A670" s="182"/>
      <c r="B670" s="19" t="s">
        <v>190</v>
      </c>
      <c r="C670" s="225">
        <v>210</v>
      </c>
      <c r="D670" s="224">
        <v>340</v>
      </c>
      <c r="E670" s="227">
        <v>190</v>
      </c>
      <c r="F670" s="227">
        <v>150</v>
      </c>
      <c r="G670" s="10"/>
    </row>
    <row r="671" spans="1:7" s="43" customFormat="1" ht="22.5" customHeight="1" x14ac:dyDescent="0.15">
      <c r="A671" s="182"/>
      <c r="B671" s="19" t="s">
        <v>191</v>
      </c>
      <c r="C671" s="225">
        <v>61</v>
      </c>
      <c r="D671" s="224">
        <v>109</v>
      </c>
      <c r="E671" s="227">
        <v>62</v>
      </c>
      <c r="F671" s="227">
        <v>47</v>
      </c>
      <c r="G671" s="10"/>
    </row>
    <row r="672" spans="1:7" s="43" customFormat="1" ht="22.5" customHeight="1" x14ac:dyDescent="0.15">
      <c r="A672" s="182"/>
      <c r="B672" s="21" t="s">
        <v>192</v>
      </c>
      <c r="C672" s="225">
        <v>40</v>
      </c>
      <c r="D672" s="224">
        <v>72</v>
      </c>
      <c r="E672" s="227">
        <v>43</v>
      </c>
      <c r="F672" s="227">
        <v>29</v>
      </c>
      <c r="G672" s="10"/>
    </row>
    <row r="673" spans="1:7" s="43" customFormat="1" ht="22.5" customHeight="1" x14ac:dyDescent="0.15">
      <c r="A673" s="182"/>
      <c r="B673" s="19" t="s">
        <v>193</v>
      </c>
      <c r="C673" s="225">
        <v>41</v>
      </c>
      <c r="D673" s="224">
        <v>69</v>
      </c>
      <c r="E673" s="227">
        <v>33</v>
      </c>
      <c r="F673" s="227">
        <v>36</v>
      </c>
      <c r="G673" s="10"/>
    </row>
    <row r="674" spans="1:7" s="43" customFormat="1" ht="22.5" customHeight="1" x14ac:dyDescent="0.15">
      <c r="A674" s="182"/>
      <c r="B674" s="19" t="s">
        <v>194</v>
      </c>
      <c r="C674" s="225">
        <v>69</v>
      </c>
      <c r="D674" s="224">
        <v>114</v>
      </c>
      <c r="E674" s="227">
        <v>58</v>
      </c>
      <c r="F674" s="227">
        <v>56</v>
      </c>
      <c r="G674" s="10"/>
    </row>
    <row r="675" spans="1:7" s="43" customFormat="1" ht="22.5" customHeight="1" x14ac:dyDescent="0.15">
      <c r="A675" s="182"/>
      <c r="B675" s="19" t="s">
        <v>195</v>
      </c>
      <c r="C675" s="225">
        <v>52</v>
      </c>
      <c r="D675" s="224">
        <v>105</v>
      </c>
      <c r="E675" s="227">
        <v>58</v>
      </c>
      <c r="F675" s="227">
        <v>47</v>
      </c>
      <c r="G675" s="10"/>
    </row>
    <row r="676" spans="1:7" s="43" customFormat="1" ht="22.5" customHeight="1" x14ac:dyDescent="0.15">
      <c r="A676" s="182"/>
      <c r="B676" s="19" t="s">
        <v>196</v>
      </c>
      <c r="C676" s="225">
        <v>75</v>
      </c>
      <c r="D676" s="224">
        <v>142</v>
      </c>
      <c r="E676" s="227">
        <v>85</v>
      </c>
      <c r="F676" s="227">
        <v>57</v>
      </c>
      <c r="G676" s="10"/>
    </row>
    <row r="677" spans="1:7" s="43" customFormat="1" ht="22.5" customHeight="1" thickBot="1" x14ac:dyDescent="0.2">
      <c r="A677" s="182"/>
      <c r="B677" s="21" t="s">
        <v>197</v>
      </c>
      <c r="C677" s="225">
        <v>45</v>
      </c>
      <c r="D677" s="224">
        <v>83</v>
      </c>
      <c r="E677" s="227">
        <v>45</v>
      </c>
      <c r="F677" s="227">
        <v>38</v>
      </c>
      <c r="G677" s="15"/>
    </row>
    <row r="678" spans="1:7" s="43" customFormat="1" ht="22.5" customHeight="1" thickTop="1" x14ac:dyDescent="0.15">
      <c r="A678" s="180" t="s">
        <v>297</v>
      </c>
      <c r="B678" s="7" t="s">
        <v>0</v>
      </c>
      <c r="C678" s="124">
        <f>SUM(C679:C722)</f>
        <v>10449</v>
      </c>
      <c r="D678" s="125">
        <f>SUM(D679:D722)</f>
        <v>21269</v>
      </c>
      <c r="E678" s="124">
        <f>SUM(E679:E722)</f>
        <v>11248</v>
      </c>
      <c r="F678" s="124">
        <f>SUM(F679:F722)</f>
        <v>10021</v>
      </c>
      <c r="G678" s="8"/>
    </row>
    <row r="679" spans="1:7" s="43" customFormat="1" ht="22.5" customHeight="1" x14ac:dyDescent="0.15">
      <c r="A679" s="181"/>
      <c r="B679" s="20" t="s">
        <v>637</v>
      </c>
      <c r="C679" s="162">
        <v>65</v>
      </c>
      <c r="D679" s="127">
        <v>133</v>
      </c>
      <c r="E679" s="162">
        <v>64</v>
      </c>
      <c r="F679" s="162">
        <v>69</v>
      </c>
      <c r="G679" s="89"/>
    </row>
    <row r="680" spans="1:7" s="43" customFormat="1" ht="22.5" customHeight="1" x14ac:dyDescent="0.15">
      <c r="A680" s="181"/>
      <c r="B680" s="20" t="s">
        <v>638</v>
      </c>
      <c r="C680" s="162">
        <v>160</v>
      </c>
      <c r="D680" s="127">
        <v>237</v>
      </c>
      <c r="E680" s="162">
        <v>138</v>
      </c>
      <c r="F680" s="162">
        <v>99</v>
      </c>
      <c r="G680" s="89"/>
    </row>
    <row r="681" spans="1:7" s="43" customFormat="1" ht="22.5" customHeight="1" x14ac:dyDescent="0.15">
      <c r="A681" s="181"/>
      <c r="B681" s="20" t="s">
        <v>639</v>
      </c>
      <c r="C681" s="162">
        <v>360</v>
      </c>
      <c r="D681" s="127">
        <v>938</v>
      </c>
      <c r="E681" s="162">
        <v>464</v>
      </c>
      <c r="F681" s="162">
        <v>474</v>
      </c>
      <c r="G681" s="89"/>
    </row>
    <row r="682" spans="1:7" s="43" customFormat="1" ht="22.5" customHeight="1" x14ac:dyDescent="0.15">
      <c r="A682" s="181"/>
      <c r="B682" s="20" t="s">
        <v>640</v>
      </c>
      <c r="C682" s="162">
        <v>380</v>
      </c>
      <c r="D682" s="127">
        <v>1158</v>
      </c>
      <c r="E682" s="162">
        <v>600</v>
      </c>
      <c r="F682" s="162">
        <v>558</v>
      </c>
      <c r="G682" s="89"/>
    </row>
    <row r="683" spans="1:7" s="43" customFormat="1" ht="22.5" customHeight="1" x14ac:dyDescent="0.15">
      <c r="A683" s="181"/>
      <c r="B683" s="20" t="s">
        <v>641</v>
      </c>
      <c r="C683" s="162">
        <v>520</v>
      </c>
      <c r="D683" s="127">
        <v>1525</v>
      </c>
      <c r="E683" s="162">
        <v>766</v>
      </c>
      <c r="F683" s="162">
        <v>759</v>
      </c>
      <c r="G683" s="89"/>
    </row>
    <row r="684" spans="1:7" s="43" customFormat="1" ht="22.5" customHeight="1" x14ac:dyDescent="0.15">
      <c r="A684" s="181"/>
      <c r="B684" s="20" t="s">
        <v>642</v>
      </c>
      <c r="C684" s="162">
        <v>304</v>
      </c>
      <c r="D684" s="127">
        <v>774</v>
      </c>
      <c r="E684" s="162">
        <v>378</v>
      </c>
      <c r="F684" s="162">
        <v>396</v>
      </c>
      <c r="G684" s="89"/>
    </row>
    <row r="685" spans="1:7" s="43" customFormat="1" ht="22.5" customHeight="1" x14ac:dyDescent="0.15">
      <c r="A685" s="181"/>
      <c r="B685" s="20" t="s">
        <v>643</v>
      </c>
      <c r="C685" s="162">
        <v>394</v>
      </c>
      <c r="D685" s="127">
        <v>936</v>
      </c>
      <c r="E685" s="162">
        <v>488</v>
      </c>
      <c r="F685" s="162">
        <v>448</v>
      </c>
      <c r="G685" s="89"/>
    </row>
    <row r="686" spans="1:7" s="43" customFormat="1" ht="22.5" customHeight="1" x14ac:dyDescent="0.15">
      <c r="A686" s="181"/>
      <c r="B686" s="20" t="s">
        <v>644</v>
      </c>
      <c r="C686" s="162">
        <v>630</v>
      </c>
      <c r="D686" s="127">
        <v>1430</v>
      </c>
      <c r="E686" s="162">
        <v>728</v>
      </c>
      <c r="F686" s="162">
        <v>702</v>
      </c>
      <c r="G686" s="89"/>
    </row>
    <row r="687" spans="1:7" s="43" customFormat="1" ht="22.5" customHeight="1" x14ac:dyDescent="0.15">
      <c r="A687" s="181"/>
      <c r="B687" s="20" t="s">
        <v>645</v>
      </c>
      <c r="C687" s="162">
        <v>324</v>
      </c>
      <c r="D687" s="127">
        <v>543</v>
      </c>
      <c r="E687" s="162">
        <v>323</v>
      </c>
      <c r="F687" s="162">
        <v>220</v>
      </c>
      <c r="G687" s="89"/>
    </row>
    <row r="688" spans="1:7" s="43" customFormat="1" ht="22.5" customHeight="1" x14ac:dyDescent="0.15">
      <c r="A688" s="181"/>
      <c r="B688" s="20" t="s">
        <v>646</v>
      </c>
      <c r="C688" s="162">
        <v>225</v>
      </c>
      <c r="D688" s="127">
        <v>465</v>
      </c>
      <c r="E688" s="162">
        <v>250</v>
      </c>
      <c r="F688" s="162">
        <v>215</v>
      </c>
      <c r="G688" s="89"/>
    </row>
    <row r="689" spans="1:7" s="43" customFormat="1" ht="22.5" customHeight="1" x14ac:dyDescent="0.15">
      <c r="A689" s="181"/>
      <c r="B689" s="20" t="s">
        <v>647</v>
      </c>
      <c r="C689" s="162">
        <v>287</v>
      </c>
      <c r="D689" s="127">
        <v>480</v>
      </c>
      <c r="E689" s="162">
        <v>280</v>
      </c>
      <c r="F689" s="162">
        <v>200</v>
      </c>
      <c r="G689" s="89"/>
    </row>
    <row r="690" spans="1:7" s="43" customFormat="1" ht="22.5" customHeight="1" x14ac:dyDescent="0.15">
      <c r="A690" s="181"/>
      <c r="B690" s="19" t="s">
        <v>648</v>
      </c>
      <c r="C690" s="162">
        <v>258</v>
      </c>
      <c r="D690" s="127">
        <v>442</v>
      </c>
      <c r="E690" s="162">
        <v>250</v>
      </c>
      <c r="F690" s="162">
        <v>192</v>
      </c>
      <c r="G690" s="89"/>
    </row>
    <row r="691" spans="1:7" s="43" customFormat="1" ht="22.5" customHeight="1" x14ac:dyDescent="0.15">
      <c r="A691" s="181"/>
      <c r="B691" s="19" t="s">
        <v>649</v>
      </c>
      <c r="C691" s="162">
        <v>184</v>
      </c>
      <c r="D691" s="127">
        <v>457</v>
      </c>
      <c r="E691" s="162">
        <v>223</v>
      </c>
      <c r="F691" s="162">
        <v>234</v>
      </c>
      <c r="G691" s="89"/>
    </row>
    <row r="692" spans="1:7" s="43" customFormat="1" ht="22.5" customHeight="1" x14ac:dyDescent="0.15">
      <c r="A692" s="181"/>
      <c r="B692" s="20" t="s">
        <v>650</v>
      </c>
      <c r="C692" s="162">
        <v>193</v>
      </c>
      <c r="D692" s="127">
        <v>465</v>
      </c>
      <c r="E692" s="162">
        <v>229</v>
      </c>
      <c r="F692" s="162">
        <v>236</v>
      </c>
      <c r="G692" s="90"/>
    </row>
    <row r="693" spans="1:7" s="43" customFormat="1" ht="22.5" customHeight="1" x14ac:dyDescent="0.15">
      <c r="A693" s="181"/>
      <c r="B693" s="20" t="s">
        <v>651</v>
      </c>
      <c r="C693" s="162">
        <v>96</v>
      </c>
      <c r="D693" s="127">
        <v>188</v>
      </c>
      <c r="E693" s="162">
        <v>100</v>
      </c>
      <c r="F693" s="162">
        <v>88</v>
      </c>
      <c r="G693" s="90"/>
    </row>
    <row r="694" spans="1:7" s="43" customFormat="1" ht="22.5" customHeight="1" x14ac:dyDescent="0.15">
      <c r="A694" s="181"/>
      <c r="B694" s="21" t="s">
        <v>652</v>
      </c>
      <c r="C694" s="162">
        <v>217</v>
      </c>
      <c r="D694" s="127">
        <v>415</v>
      </c>
      <c r="E694" s="162">
        <v>215</v>
      </c>
      <c r="F694" s="162">
        <v>200</v>
      </c>
      <c r="G694" s="89"/>
    </row>
    <row r="695" spans="1:7" s="43" customFormat="1" ht="22.5" customHeight="1" x14ac:dyDescent="0.15">
      <c r="A695" s="181"/>
      <c r="B695" s="19" t="s">
        <v>653</v>
      </c>
      <c r="C695" s="162">
        <v>95</v>
      </c>
      <c r="D695" s="127">
        <v>203</v>
      </c>
      <c r="E695" s="162">
        <v>120</v>
      </c>
      <c r="F695" s="162">
        <v>83</v>
      </c>
      <c r="G695" s="89"/>
    </row>
    <row r="696" spans="1:7" s="43" customFormat="1" ht="22.5" customHeight="1" x14ac:dyDescent="0.15">
      <c r="A696" s="181"/>
      <c r="B696" s="19" t="s">
        <v>654</v>
      </c>
      <c r="C696" s="162">
        <v>653</v>
      </c>
      <c r="D696" s="127">
        <v>1277</v>
      </c>
      <c r="E696" s="162">
        <v>650</v>
      </c>
      <c r="F696" s="162">
        <v>627</v>
      </c>
      <c r="G696" s="98"/>
    </row>
    <row r="697" spans="1:7" s="43" customFormat="1" ht="22.5" customHeight="1" x14ac:dyDescent="0.15">
      <c r="A697" s="181"/>
      <c r="B697" s="19" t="s">
        <v>655</v>
      </c>
      <c r="C697" s="162">
        <v>627</v>
      </c>
      <c r="D697" s="127">
        <v>1313</v>
      </c>
      <c r="E697" s="162">
        <v>665</v>
      </c>
      <c r="F697" s="162">
        <v>648</v>
      </c>
      <c r="G697" s="98"/>
    </row>
    <row r="698" spans="1:7" s="43" customFormat="1" ht="22.5" customHeight="1" x14ac:dyDescent="0.15">
      <c r="A698" s="181"/>
      <c r="B698" s="19" t="s">
        <v>656</v>
      </c>
      <c r="C698" s="162">
        <v>78</v>
      </c>
      <c r="D698" s="127">
        <v>139</v>
      </c>
      <c r="E698" s="162">
        <v>83</v>
      </c>
      <c r="F698" s="162">
        <v>56</v>
      </c>
      <c r="G698" s="15"/>
    </row>
    <row r="699" spans="1:7" s="43" customFormat="1" ht="22.5" customHeight="1" x14ac:dyDescent="0.15">
      <c r="A699" s="181"/>
      <c r="B699" s="19" t="s">
        <v>657</v>
      </c>
      <c r="C699" s="162">
        <v>149</v>
      </c>
      <c r="D699" s="127">
        <v>174</v>
      </c>
      <c r="E699" s="162">
        <v>109</v>
      </c>
      <c r="F699" s="162">
        <v>65</v>
      </c>
      <c r="G699" s="10"/>
    </row>
    <row r="700" spans="1:7" s="43" customFormat="1" ht="22.5" customHeight="1" x14ac:dyDescent="0.15">
      <c r="A700" s="181"/>
      <c r="B700" s="19" t="s">
        <v>298</v>
      </c>
      <c r="C700" s="162">
        <v>57</v>
      </c>
      <c r="D700" s="127">
        <v>114</v>
      </c>
      <c r="E700" s="162">
        <v>53</v>
      </c>
      <c r="F700" s="162">
        <v>61</v>
      </c>
      <c r="G700" s="10"/>
    </row>
    <row r="701" spans="1:7" s="43" customFormat="1" ht="22.5" customHeight="1" x14ac:dyDescent="0.15">
      <c r="A701" s="181"/>
      <c r="B701" s="19" t="s">
        <v>773</v>
      </c>
      <c r="C701" s="162">
        <v>484</v>
      </c>
      <c r="D701" s="127">
        <v>938</v>
      </c>
      <c r="E701" s="162">
        <v>508</v>
      </c>
      <c r="F701" s="162">
        <v>430</v>
      </c>
      <c r="G701" s="10"/>
    </row>
    <row r="702" spans="1:7" s="43" customFormat="1" ht="22.5" customHeight="1" x14ac:dyDescent="0.15">
      <c r="A702" s="181"/>
      <c r="B702" s="19" t="s">
        <v>774</v>
      </c>
      <c r="C702" s="162">
        <v>113</v>
      </c>
      <c r="D702" s="127">
        <v>193</v>
      </c>
      <c r="E702" s="162">
        <v>96</v>
      </c>
      <c r="F702" s="162">
        <v>97</v>
      </c>
      <c r="G702" s="10"/>
    </row>
    <row r="703" spans="1:7" s="43" customFormat="1" ht="22.5" customHeight="1" x14ac:dyDescent="0.15">
      <c r="A703" s="181"/>
      <c r="B703" s="21" t="s">
        <v>775</v>
      </c>
      <c r="C703" s="162">
        <v>444</v>
      </c>
      <c r="D703" s="127">
        <v>1088</v>
      </c>
      <c r="E703" s="162">
        <v>562</v>
      </c>
      <c r="F703" s="162">
        <v>526</v>
      </c>
      <c r="G703" s="10"/>
    </row>
    <row r="704" spans="1:7" s="43" customFormat="1" ht="22.5" customHeight="1" x14ac:dyDescent="0.15">
      <c r="A704" s="181"/>
      <c r="B704" s="19" t="s">
        <v>776</v>
      </c>
      <c r="C704" s="162">
        <v>426</v>
      </c>
      <c r="D704" s="127">
        <v>832</v>
      </c>
      <c r="E704" s="162">
        <v>401</v>
      </c>
      <c r="F704" s="162">
        <v>431</v>
      </c>
      <c r="G704" s="15"/>
    </row>
    <row r="705" spans="1:7" s="43" customFormat="1" ht="22.5" customHeight="1" x14ac:dyDescent="0.15">
      <c r="A705" s="182"/>
      <c r="B705" s="19" t="s">
        <v>777</v>
      </c>
      <c r="C705" s="162">
        <v>259</v>
      </c>
      <c r="D705" s="127">
        <v>343</v>
      </c>
      <c r="E705" s="162">
        <v>215</v>
      </c>
      <c r="F705" s="162">
        <v>128</v>
      </c>
      <c r="G705" s="10"/>
    </row>
    <row r="706" spans="1:7" s="43" customFormat="1" ht="22.5" customHeight="1" x14ac:dyDescent="0.15">
      <c r="A706" s="182"/>
      <c r="B706" s="19" t="s">
        <v>778</v>
      </c>
      <c r="C706" s="162">
        <v>117</v>
      </c>
      <c r="D706" s="127">
        <v>146</v>
      </c>
      <c r="E706" s="162">
        <v>101</v>
      </c>
      <c r="F706" s="162">
        <v>45</v>
      </c>
      <c r="G706" s="10"/>
    </row>
    <row r="707" spans="1:7" s="43" customFormat="1" ht="22.5" customHeight="1" x14ac:dyDescent="0.15">
      <c r="A707" s="182"/>
      <c r="B707" s="19" t="s">
        <v>658</v>
      </c>
      <c r="C707" s="162">
        <v>74</v>
      </c>
      <c r="D707" s="127">
        <v>130</v>
      </c>
      <c r="E707" s="162">
        <v>70</v>
      </c>
      <c r="F707" s="162">
        <v>60</v>
      </c>
      <c r="G707" s="10"/>
    </row>
    <row r="708" spans="1:7" s="43" customFormat="1" ht="22.5" customHeight="1" x14ac:dyDescent="0.15">
      <c r="A708" s="182"/>
      <c r="B708" s="19" t="s">
        <v>659</v>
      </c>
      <c r="C708" s="162">
        <v>86</v>
      </c>
      <c r="D708" s="127">
        <v>209</v>
      </c>
      <c r="E708" s="162">
        <v>115</v>
      </c>
      <c r="F708" s="162">
        <v>94</v>
      </c>
      <c r="G708" s="10"/>
    </row>
    <row r="709" spans="1:7" s="43" customFormat="1" ht="22.5" customHeight="1" x14ac:dyDescent="0.15">
      <c r="A709" s="182"/>
      <c r="B709" s="19" t="s">
        <v>299</v>
      </c>
      <c r="C709" s="162">
        <v>72</v>
      </c>
      <c r="D709" s="127">
        <v>140</v>
      </c>
      <c r="E709" s="162">
        <v>70</v>
      </c>
      <c r="F709" s="162">
        <v>70</v>
      </c>
      <c r="G709" s="10"/>
    </row>
    <row r="710" spans="1:7" s="43" customFormat="1" ht="22.5" customHeight="1" x14ac:dyDescent="0.15">
      <c r="A710" s="182"/>
      <c r="B710" s="19" t="s">
        <v>300</v>
      </c>
      <c r="C710" s="162">
        <v>61</v>
      </c>
      <c r="D710" s="127">
        <v>104</v>
      </c>
      <c r="E710" s="162">
        <v>54</v>
      </c>
      <c r="F710" s="162">
        <v>50</v>
      </c>
      <c r="G710" s="10"/>
    </row>
    <row r="711" spans="1:7" s="43" customFormat="1" ht="22.5" customHeight="1" x14ac:dyDescent="0.15">
      <c r="A711" s="182"/>
      <c r="B711" s="19" t="s">
        <v>660</v>
      </c>
      <c r="C711" s="162">
        <v>94</v>
      </c>
      <c r="D711" s="127">
        <v>168</v>
      </c>
      <c r="E711" s="162">
        <v>98</v>
      </c>
      <c r="F711" s="162">
        <v>70</v>
      </c>
      <c r="G711" s="10"/>
    </row>
    <row r="712" spans="1:7" s="43" customFormat="1" ht="22.5" customHeight="1" x14ac:dyDescent="0.15">
      <c r="A712" s="182"/>
      <c r="B712" s="19" t="s">
        <v>661</v>
      </c>
      <c r="C712" s="162">
        <v>26</v>
      </c>
      <c r="D712" s="127">
        <v>42</v>
      </c>
      <c r="E712" s="162">
        <v>22</v>
      </c>
      <c r="F712" s="162">
        <v>20</v>
      </c>
      <c r="G712" s="10"/>
    </row>
    <row r="713" spans="1:7" s="43" customFormat="1" ht="22.5" customHeight="1" x14ac:dyDescent="0.15">
      <c r="A713" s="182"/>
      <c r="B713" s="19" t="s">
        <v>662</v>
      </c>
      <c r="C713" s="162">
        <v>461</v>
      </c>
      <c r="D713" s="127">
        <v>853</v>
      </c>
      <c r="E713" s="162">
        <v>452</v>
      </c>
      <c r="F713" s="162">
        <v>401</v>
      </c>
      <c r="G713" s="10"/>
    </row>
    <row r="714" spans="1:7" s="43" customFormat="1" ht="22.5" customHeight="1" x14ac:dyDescent="0.15">
      <c r="A714" s="182"/>
      <c r="B714" s="19" t="s">
        <v>663</v>
      </c>
      <c r="C714" s="162">
        <v>100</v>
      </c>
      <c r="D714" s="127">
        <v>178</v>
      </c>
      <c r="E714" s="162">
        <v>95</v>
      </c>
      <c r="F714" s="162">
        <v>83</v>
      </c>
      <c r="G714" s="10"/>
    </row>
    <row r="715" spans="1:7" s="43" customFormat="1" ht="22.5" customHeight="1" x14ac:dyDescent="0.15">
      <c r="A715" s="182"/>
      <c r="B715" s="19" t="s">
        <v>664</v>
      </c>
      <c r="C715" s="162">
        <v>187</v>
      </c>
      <c r="D715" s="127">
        <v>310</v>
      </c>
      <c r="E715" s="162">
        <v>176</v>
      </c>
      <c r="F715" s="162">
        <v>134</v>
      </c>
      <c r="G715" s="10"/>
    </row>
    <row r="716" spans="1:7" s="43" customFormat="1" ht="22.5" customHeight="1" x14ac:dyDescent="0.15">
      <c r="A716" s="182"/>
      <c r="B716" s="19" t="s">
        <v>665</v>
      </c>
      <c r="C716" s="162">
        <v>109</v>
      </c>
      <c r="D716" s="127">
        <v>155</v>
      </c>
      <c r="E716" s="162">
        <v>91</v>
      </c>
      <c r="F716" s="162">
        <v>64</v>
      </c>
      <c r="G716" s="10"/>
    </row>
    <row r="717" spans="1:7" s="43" customFormat="1" ht="22.5" customHeight="1" x14ac:dyDescent="0.15">
      <c r="A717" s="182"/>
      <c r="B717" s="19" t="s">
        <v>666</v>
      </c>
      <c r="C717" s="162">
        <v>166</v>
      </c>
      <c r="D717" s="127">
        <v>253</v>
      </c>
      <c r="E717" s="162">
        <v>158</v>
      </c>
      <c r="F717" s="162">
        <v>95</v>
      </c>
      <c r="G717" s="10"/>
    </row>
    <row r="718" spans="1:7" s="43" customFormat="1" ht="22.5" customHeight="1" x14ac:dyDescent="0.15">
      <c r="A718" s="182"/>
      <c r="B718" s="19" t="s">
        <v>667</v>
      </c>
      <c r="C718" s="162">
        <v>284</v>
      </c>
      <c r="D718" s="127">
        <v>432</v>
      </c>
      <c r="E718" s="162">
        <v>249</v>
      </c>
      <c r="F718" s="162">
        <v>183</v>
      </c>
      <c r="G718" s="10"/>
    </row>
    <row r="719" spans="1:7" s="43" customFormat="1" ht="22.5" customHeight="1" x14ac:dyDescent="0.15">
      <c r="A719" s="182"/>
      <c r="B719" s="19" t="s">
        <v>668</v>
      </c>
      <c r="C719" s="162">
        <v>147</v>
      </c>
      <c r="D719" s="127">
        <v>237</v>
      </c>
      <c r="E719" s="162">
        <v>127</v>
      </c>
      <c r="F719" s="162">
        <v>110</v>
      </c>
      <c r="G719" s="10"/>
    </row>
    <row r="720" spans="1:7" s="43" customFormat="1" ht="22.5" customHeight="1" x14ac:dyDescent="0.15">
      <c r="A720" s="182"/>
      <c r="B720" s="19" t="s">
        <v>669</v>
      </c>
      <c r="C720" s="162">
        <v>317</v>
      </c>
      <c r="D720" s="127">
        <v>346</v>
      </c>
      <c r="E720" s="162">
        <v>227</v>
      </c>
      <c r="F720" s="162">
        <v>119</v>
      </c>
      <c r="G720" s="10"/>
    </row>
    <row r="721" spans="1:7" s="43" customFormat="1" ht="22.5" customHeight="1" x14ac:dyDescent="0.15">
      <c r="A721" s="182"/>
      <c r="B721" s="20" t="s">
        <v>670</v>
      </c>
      <c r="C721" s="162">
        <v>104</v>
      </c>
      <c r="D721" s="127">
        <v>250</v>
      </c>
      <c r="E721" s="162">
        <v>122</v>
      </c>
      <c r="F721" s="162">
        <v>128</v>
      </c>
      <c r="G721" s="12"/>
    </row>
    <row r="722" spans="1:7" s="43" customFormat="1" ht="22.5" customHeight="1" thickBot="1" x14ac:dyDescent="0.2">
      <c r="A722" s="183"/>
      <c r="B722" s="24" t="s">
        <v>671</v>
      </c>
      <c r="C722" s="162">
        <v>62</v>
      </c>
      <c r="D722" s="127">
        <v>116</v>
      </c>
      <c r="E722" s="162">
        <v>63</v>
      </c>
      <c r="F722" s="162">
        <v>53</v>
      </c>
      <c r="G722" s="25"/>
    </row>
    <row r="723" spans="1:7" s="43" customFormat="1" ht="22.5" customHeight="1" thickTop="1" x14ac:dyDescent="0.15">
      <c r="A723" s="180" t="s">
        <v>301</v>
      </c>
      <c r="B723" s="7" t="s">
        <v>0</v>
      </c>
      <c r="C723" s="124">
        <f>SUM(C724:C783)</f>
        <v>9978</v>
      </c>
      <c r="D723" s="129">
        <f>SUM(D724:D783)</f>
        <v>18957</v>
      </c>
      <c r="E723" s="124">
        <f>SUM(E724:E783)</f>
        <v>10474</v>
      </c>
      <c r="F723" s="124">
        <f>SUM(F724:F783)</f>
        <v>8483</v>
      </c>
      <c r="G723" s="8"/>
    </row>
    <row r="724" spans="1:7" s="43" customFormat="1" ht="22.5" customHeight="1" x14ac:dyDescent="0.15">
      <c r="A724" s="182"/>
      <c r="B724" s="19" t="s">
        <v>672</v>
      </c>
      <c r="C724" s="171">
        <v>94</v>
      </c>
      <c r="D724" s="231">
        <v>181</v>
      </c>
      <c r="E724" s="171">
        <v>91</v>
      </c>
      <c r="F724" s="171">
        <v>90</v>
      </c>
      <c r="G724" s="10"/>
    </row>
    <row r="725" spans="1:7" s="43" customFormat="1" ht="22.5" customHeight="1" x14ac:dyDescent="0.15">
      <c r="A725" s="182"/>
      <c r="B725" s="19" t="s">
        <v>673</v>
      </c>
      <c r="C725" s="171">
        <v>69</v>
      </c>
      <c r="D725" s="231">
        <v>156</v>
      </c>
      <c r="E725" s="171">
        <v>87</v>
      </c>
      <c r="F725" s="171">
        <v>69</v>
      </c>
      <c r="G725" s="10"/>
    </row>
    <row r="726" spans="1:7" s="43" customFormat="1" ht="22.5" customHeight="1" x14ac:dyDescent="0.15">
      <c r="A726" s="182"/>
      <c r="B726" s="19" t="s">
        <v>674</v>
      </c>
      <c r="C726" s="171">
        <v>31</v>
      </c>
      <c r="D726" s="231">
        <v>53</v>
      </c>
      <c r="E726" s="171">
        <v>27</v>
      </c>
      <c r="F726" s="171">
        <v>26</v>
      </c>
      <c r="G726" s="10"/>
    </row>
    <row r="727" spans="1:7" s="43" customFormat="1" ht="22.5" customHeight="1" x14ac:dyDescent="0.15">
      <c r="A727" s="182"/>
      <c r="B727" s="19" t="s">
        <v>675</v>
      </c>
      <c r="C727" s="171">
        <v>142</v>
      </c>
      <c r="D727" s="231">
        <v>237</v>
      </c>
      <c r="E727" s="171">
        <v>137</v>
      </c>
      <c r="F727" s="171">
        <v>100</v>
      </c>
      <c r="G727" s="10"/>
    </row>
    <row r="728" spans="1:7" s="43" customFormat="1" ht="22.5" customHeight="1" x14ac:dyDescent="0.15">
      <c r="A728" s="182"/>
      <c r="B728" s="19" t="s">
        <v>676</v>
      </c>
      <c r="C728" s="171">
        <v>106</v>
      </c>
      <c r="D728" s="231">
        <v>167</v>
      </c>
      <c r="E728" s="171">
        <v>94</v>
      </c>
      <c r="F728" s="171">
        <v>73</v>
      </c>
      <c r="G728" s="10"/>
    </row>
    <row r="729" spans="1:7" s="43" customFormat="1" ht="22.5" customHeight="1" x14ac:dyDescent="0.15">
      <c r="A729" s="182"/>
      <c r="B729" s="19" t="s">
        <v>677</v>
      </c>
      <c r="C729" s="171">
        <v>68</v>
      </c>
      <c r="D729" s="231">
        <v>132</v>
      </c>
      <c r="E729" s="171">
        <v>71</v>
      </c>
      <c r="F729" s="171">
        <v>61</v>
      </c>
      <c r="G729" s="10"/>
    </row>
    <row r="730" spans="1:7" s="43" customFormat="1" ht="22.5" customHeight="1" x14ac:dyDescent="0.15">
      <c r="A730" s="182"/>
      <c r="B730" s="19" t="s">
        <v>678</v>
      </c>
      <c r="C730" s="171">
        <v>318</v>
      </c>
      <c r="D730" s="231">
        <v>589</v>
      </c>
      <c r="E730" s="171">
        <v>337</v>
      </c>
      <c r="F730" s="171">
        <v>252</v>
      </c>
      <c r="G730" s="10"/>
    </row>
    <row r="731" spans="1:7" s="43" customFormat="1" ht="22.5" customHeight="1" x14ac:dyDescent="0.15">
      <c r="A731" s="182"/>
      <c r="B731" s="19" t="s">
        <v>679</v>
      </c>
      <c r="C731" s="171">
        <v>76</v>
      </c>
      <c r="D731" s="231">
        <v>137</v>
      </c>
      <c r="E731" s="171">
        <v>73</v>
      </c>
      <c r="F731" s="171">
        <v>64</v>
      </c>
      <c r="G731" s="10"/>
    </row>
    <row r="732" spans="1:7" s="43" customFormat="1" ht="22.5" customHeight="1" x14ac:dyDescent="0.15">
      <c r="A732" s="182"/>
      <c r="B732" s="20" t="s">
        <v>680</v>
      </c>
      <c r="C732" s="171">
        <v>55</v>
      </c>
      <c r="D732" s="231">
        <v>99</v>
      </c>
      <c r="E732" s="171">
        <v>46</v>
      </c>
      <c r="F732" s="171">
        <v>53</v>
      </c>
      <c r="G732" s="12"/>
    </row>
    <row r="733" spans="1:7" s="43" customFormat="1" ht="22.5" customHeight="1" x14ac:dyDescent="0.15">
      <c r="A733" s="182"/>
      <c r="B733" s="19" t="s">
        <v>681</v>
      </c>
      <c r="C733" s="171">
        <v>124</v>
      </c>
      <c r="D733" s="231">
        <v>263</v>
      </c>
      <c r="E733" s="171">
        <v>150</v>
      </c>
      <c r="F733" s="171">
        <v>113</v>
      </c>
      <c r="G733" s="10"/>
    </row>
    <row r="734" spans="1:7" s="43" customFormat="1" ht="22.5" customHeight="1" x14ac:dyDescent="0.15">
      <c r="A734" s="182"/>
      <c r="B734" s="19" t="s">
        <v>682</v>
      </c>
      <c r="C734" s="171">
        <v>60</v>
      </c>
      <c r="D734" s="231">
        <v>101</v>
      </c>
      <c r="E734" s="171">
        <v>61</v>
      </c>
      <c r="F734" s="171">
        <v>40</v>
      </c>
      <c r="G734" s="10"/>
    </row>
    <row r="735" spans="1:7" s="43" customFormat="1" ht="22.5" customHeight="1" x14ac:dyDescent="0.15">
      <c r="A735" s="182"/>
      <c r="B735" s="19" t="s">
        <v>683</v>
      </c>
      <c r="C735" s="171">
        <v>62</v>
      </c>
      <c r="D735" s="231">
        <v>119</v>
      </c>
      <c r="E735" s="171">
        <v>61</v>
      </c>
      <c r="F735" s="171">
        <v>58</v>
      </c>
      <c r="G735" s="10"/>
    </row>
    <row r="736" spans="1:7" s="43" customFormat="1" ht="22.5" customHeight="1" x14ac:dyDescent="0.15">
      <c r="A736" s="182"/>
      <c r="B736" s="19" t="s">
        <v>684</v>
      </c>
      <c r="C736" s="171">
        <v>163</v>
      </c>
      <c r="D736" s="231">
        <v>229</v>
      </c>
      <c r="E736" s="171">
        <v>157</v>
      </c>
      <c r="F736" s="171">
        <v>72</v>
      </c>
      <c r="G736" s="10"/>
    </row>
    <row r="737" spans="1:7" s="43" customFormat="1" ht="22.5" customHeight="1" x14ac:dyDescent="0.15">
      <c r="A737" s="182"/>
      <c r="B737" s="19" t="s">
        <v>685</v>
      </c>
      <c r="C737" s="171">
        <v>293</v>
      </c>
      <c r="D737" s="231">
        <v>525</v>
      </c>
      <c r="E737" s="171">
        <v>291</v>
      </c>
      <c r="F737" s="171">
        <v>234</v>
      </c>
      <c r="G737" s="10"/>
    </row>
    <row r="738" spans="1:7" s="43" customFormat="1" ht="22.5" customHeight="1" x14ac:dyDescent="0.15">
      <c r="A738" s="182"/>
      <c r="B738" s="19" t="s">
        <v>686</v>
      </c>
      <c r="C738" s="171">
        <v>129</v>
      </c>
      <c r="D738" s="231">
        <v>248</v>
      </c>
      <c r="E738" s="171">
        <v>146</v>
      </c>
      <c r="F738" s="171">
        <v>102</v>
      </c>
      <c r="G738" s="10"/>
    </row>
    <row r="739" spans="1:7" s="43" customFormat="1" ht="22.5" customHeight="1" x14ac:dyDescent="0.15">
      <c r="A739" s="182"/>
      <c r="B739" s="19" t="s">
        <v>687</v>
      </c>
      <c r="C739" s="171">
        <v>189</v>
      </c>
      <c r="D739" s="231">
        <v>326</v>
      </c>
      <c r="E739" s="171">
        <v>177</v>
      </c>
      <c r="F739" s="171">
        <v>149</v>
      </c>
      <c r="G739" s="10"/>
    </row>
    <row r="740" spans="1:7" s="43" customFormat="1" ht="22.5" customHeight="1" x14ac:dyDescent="0.15">
      <c r="A740" s="182"/>
      <c r="B740" s="19" t="s">
        <v>688</v>
      </c>
      <c r="C740" s="171">
        <v>126</v>
      </c>
      <c r="D740" s="231">
        <v>225</v>
      </c>
      <c r="E740" s="171">
        <v>124</v>
      </c>
      <c r="F740" s="171">
        <v>101</v>
      </c>
      <c r="G740" s="10"/>
    </row>
    <row r="741" spans="1:7" s="43" customFormat="1" ht="22.5" customHeight="1" x14ac:dyDescent="0.15">
      <c r="A741" s="182"/>
      <c r="B741" s="19" t="s">
        <v>689</v>
      </c>
      <c r="C741" s="171">
        <v>204</v>
      </c>
      <c r="D741" s="231">
        <v>225</v>
      </c>
      <c r="E741" s="171">
        <v>184</v>
      </c>
      <c r="F741" s="171">
        <v>41</v>
      </c>
      <c r="G741" s="10"/>
    </row>
    <row r="742" spans="1:7" s="43" customFormat="1" ht="22.5" customHeight="1" x14ac:dyDescent="0.15">
      <c r="A742" s="182"/>
      <c r="B742" s="21" t="s">
        <v>690</v>
      </c>
      <c r="C742" s="171">
        <v>152</v>
      </c>
      <c r="D742" s="231">
        <v>181</v>
      </c>
      <c r="E742" s="171">
        <v>127</v>
      </c>
      <c r="F742" s="171">
        <v>54</v>
      </c>
      <c r="G742" s="15"/>
    </row>
    <row r="743" spans="1:7" s="43" customFormat="1" ht="22.5" customHeight="1" x14ac:dyDescent="0.15">
      <c r="A743" s="182"/>
      <c r="B743" s="19" t="s">
        <v>691</v>
      </c>
      <c r="C743" s="171">
        <v>197</v>
      </c>
      <c r="D743" s="231">
        <v>205</v>
      </c>
      <c r="E743" s="171">
        <v>182</v>
      </c>
      <c r="F743" s="171">
        <v>23</v>
      </c>
      <c r="G743" s="10"/>
    </row>
    <row r="744" spans="1:7" s="43" customFormat="1" ht="22.5" customHeight="1" x14ac:dyDescent="0.15">
      <c r="A744" s="182"/>
      <c r="B744" s="19" t="s">
        <v>692</v>
      </c>
      <c r="C744" s="171">
        <v>178</v>
      </c>
      <c r="D744" s="231">
        <v>223</v>
      </c>
      <c r="E744" s="171">
        <v>157</v>
      </c>
      <c r="F744" s="171">
        <v>66</v>
      </c>
      <c r="G744" s="10"/>
    </row>
    <row r="745" spans="1:7" s="43" customFormat="1" ht="22.5" customHeight="1" x14ac:dyDescent="0.15">
      <c r="A745" s="182"/>
      <c r="B745" s="19" t="s">
        <v>693</v>
      </c>
      <c r="C745" s="171">
        <v>111</v>
      </c>
      <c r="D745" s="231">
        <v>183</v>
      </c>
      <c r="E745" s="171">
        <v>103</v>
      </c>
      <c r="F745" s="171">
        <v>80</v>
      </c>
      <c r="G745" s="10"/>
    </row>
    <row r="746" spans="1:7" s="43" customFormat="1" ht="22.5" customHeight="1" x14ac:dyDescent="0.15">
      <c r="A746" s="182"/>
      <c r="B746" s="19" t="s">
        <v>694</v>
      </c>
      <c r="C746" s="171">
        <v>45</v>
      </c>
      <c r="D746" s="231">
        <v>93</v>
      </c>
      <c r="E746" s="171">
        <v>50</v>
      </c>
      <c r="F746" s="171">
        <v>43</v>
      </c>
      <c r="G746" s="10"/>
    </row>
    <row r="747" spans="1:7" s="43" customFormat="1" ht="22.5" customHeight="1" x14ac:dyDescent="0.15">
      <c r="A747" s="182"/>
      <c r="B747" s="19" t="s">
        <v>695</v>
      </c>
      <c r="C747" s="171">
        <v>216</v>
      </c>
      <c r="D747" s="231">
        <v>413</v>
      </c>
      <c r="E747" s="171">
        <v>210</v>
      </c>
      <c r="F747" s="171">
        <v>203</v>
      </c>
      <c r="G747" s="10"/>
    </row>
    <row r="748" spans="1:7" s="43" customFormat="1" ht="22.5" customHeight="1" x14ac:dyDescent="0.15">
      <c r="A748" s="182"/>
      <c r="B748" s="19" t="s">
        <v>696</v>
      </c>
      <c r="C748" s="171">
        <v>177</v>
      </c>
      <c r="D748" s="231">
        <v>331</v>
      </c>
      <c r="E748" s="171">
        <v>170</v>
      </c>
      <c r="F748" s="171">
        <v>161</v>
      </c>
      <c r="G748" s="10"/>
    </row>
    <row r="749" spans="1:7" s="43" customFormat="1" ht="22.5" customHeight="1" x14ac:dyDescent="0.15">
      <c r="A749" s="182"/>
      <c r="B749" s="19" t="s">
        <v>697</v>
      </c>
      <c r="C749" s="171">
        <v>147</v>
      </c>
      <c r="D749" s="231">
        <v>242</v>
      </c>
      <c r="E749" s="171">
        <v>135</v>
      </c>
      <c r="F749" s="171">
        <v>107</v>
      </c>
      <c r="G749" s="15"/>
    </row>
    <row r="750" spans="1:7" s="43" customFormat="1" ht="22.5" customHeight="1" x14ac:dyDescent="0.15">
      <c r="A750" s="182"/>
      <c r="B750" s="19" t="s">
        <v>698</v>
      </c>
      <c r="C750" s="171">
        <v>105</v>
      </c>
      <c r="D750" s="231">
        <v>173</v>
      </c>
      <c r="E750" s="171">
        <v>107</v>
      </c>
      <c r="F750" s="171">
        <v>66</v>
      </c>
      <c r="G750" s="15"/>
    </row>
    <row r="751" spans="1:7" s="43" customFormat="1" ht="22.5" customHeight="1" x14ac:dyDescent="0.15">
      <c r="A751" s="182"/>
      <c r="B751" s="19" t="s">
        <v>699</v>
      </c>
      <c r="C751" s="171">
        <v>428</v>
      </c>
      <c r="D751" s="231">
        <v>607</v>
      </c>
      <c r="E751" s="171">
        <v>368</v>
      </c>
      <c r="F751" s="171">
        <v>239</v>
      </c>
      <c r="G751" s="15"/>
    </row>
    <row r="752" spans="1:7" s="43" customFormat="1" ht="22.5" customHeight="1" x14ac:dyDescent="0.15">
      <c r="A752" s="182"/>
      <c r="B752" s="19" t="s">
        <v>700</v>
      </c>
      <c r="C752" s="171">
        <v>92</v>
      </c>
      <c r="D752" s="231">
        <v>190</v>
      </c>
      <c r="E752" s="171">
        <v>98</v>
      </c>
      <c r="F752" s="171">
        <v>92</v>
      </c>
      <c r="G752" s="10"/>
    </row>
    <row r="753" spans="1:7" s="43" customFormat="1" ht="22.5" customHeight="1" x14ac:dyDescent="0.15">
      <c r="A753" s="182"/>
      <c r="B753" s="19" t="s">
        <v>701</v>
      </c>
      <c r="C753" s="171">
        <v>154</v>
      </c>
      <c r="D753" s="231">
        <v>230</v>
      </c>
      <c r="E753" s="171">
        <v>142</v>
      </c>
      <c r="F753" s="171">
        <v>88</v>
      </c>
      <c r="G753" s="10"/>
    </row>
    <row r="754" spans="1:7" s="43" customFormat="1" ht="22.5" customHeight="1" x14ac:dyDescent="0.15">
      <c r="A754" s="182"/>
      <c r="B754" s="19" t="s">
        <v>702</v>
      </c>
      <c r="C754" s="171">
        <v>49</v>
      </c>
      <c r="D754" s="231">
        <v>106</v>
      </c>
      <c r="E754" s="171">
        <v>49</v>
      </c>
      <c r="F754" s="171">
        <v>57</v>
      </c>
      <c r="G754" s="10"/>
    </row>
    <row r="755" spans="1:7" s="43" customFormat="1" ht="22.5" customHeight="1" x14ac:dyDescent="0.15">
      <c r="A755" s="182"/>
      <c r="B755" s="19" t="s">
        <v>703</v>
      </c>
      <c r="C755" s="171">
        <v>39</v>
      </c>
      <c r="D755" s="231">
        <v>59</v>
      </c>
      <c r="E755" s="171">
        <v>32</v>
      </c>
      <c r="F755" s="171">
        <v>27</v>
      </c>
      <c r="G755" s="10"/>
    </row>
    <row r="756" spans="1:7" s="43" customFormat="1" ht="22.5" customHeight="1" x14ac:dyDescent="0.15">
      <c r="A756" s="182"/>
      <c r="B756" s="21" t="s">
        <v>704</v>
      </c>
      <c r="C756" s="171">
        <v>378</v>
      </c>
      <c r="D756" s="231">
        <v>698</v>
      </c>
      <c r="E756" s="171">
        <v>339</v>
      </c>
      <c r="F756" s="171">
        <v>359</v>
      </c>
      <c r="G756" s="15"/>
    </row>
    <row r="757" spans="1:7" s="43" customFormat="1" ht="22.5" customHeight="1" x14ac:dyDescent="0.15">
      <c r="A757" s="182"/>
      <c r="B757" s="19" t="s">
        <v>705</v>
      </c>
      <c r="C757" s="171">
        <v>270</v>
      </c>
      <c r="D757" s="231">
        <v>576</v>
      </c>
      <c r="E757" s="171">
        <v>291</v>
      </c>
      <c r="F757" s="171">
        <v>285</v>
      </c>
      <c r="G757" s="10"/>
    </row>
    <row r="758" spans="1:7" s="43" customFormat="1" ht="22.5" customHeight="1" x14ac:dyDescent="0.15">
      <c r="A758" s="182"/>
      <c r="B758" s="19" t="s">
        <v>706</v>
      </c>
      <c r="C758" s="171">
        <v>133</v>
      </c>
      <c r="D758" s="231">
        <v>274</v>
      </c>
      <c r="E758" s="171">
        <v>135</v>
      </c>
      <c r="F758" s="171">
        <v>139</v>
      </c>
      <c r="G758" s="10"/>
    </row>
    <row r="759" spans="1:7" s="43" customFormat="1" ht="22.5" customHeight="1" x14ac:dyDescent="0.15">
      <c r="A759" s="182"/>
      <c r="B759" s="19" t="s">
        <v>707</v>
      </c>
      <c r="C759" s="171">
        <v>163</v>
      </c>
      <c r="D759" s="231">
        <v>208</v>
      </c>
      <c r="E759" s="171">
        <v>115</v>
      </c>
      <c r="F759" s="171">
        <v>93</v>
      </c>
      <c r="G759" s="10"/>
    </row>
    <row r="760" spans="1:7" s="43" customFormat="1" ht="22.5" customHeight="1" x14ac:dyDescent="0.15">
      <c r="A760" s="182"/>
      <c r="B760" s="19" t="s">
        <v>708</v>
      </c>
      <c r="C760" s="171">
        <v>178</v>
      </c>
      <c r="D760" s="231">
        <v>506</v>
      </c>
      <c r="E760" s="171">
        <v>261</v>
      </c>
      <c r="F760" s="171">
        <v>245</v>
      </c>
      <c r="G760" s="10"/>
    </row>
    <row r="761" spans="1:7" s="43" customFormat="1" ht="22.5" customHeight="1" x14ac:dyDescent="0.15">
      <c r="A761" s="182"/>
      <c r="B761" s="19" t="s">
        <v>709</v>
      </c>
      <c r="C761" s="171">
        <v>280</v>
      </c>
      <c r="D761" s="231">
        <v>825</v>
      </c>
      <c r="E761" s="171">
        <v>413</v>
      </c>
      <c r="F761" s="171">
        <v>412</v>
      </c>
      <c r="G761" s="10"/>
    </row>
    <row r="762" spans="1:7" s="43" customFormat="1" ht="22.5" customHeight="1" x14ac:dyDescent="0.15">
      <c r="A762" s="182"/>
      <c r="B762" s="19" t="s">
        <v>710</v>
      </c>
      <c r="C762" s="171">
        <v>315</v>
      </c>
      <c r="D762" s="231">
        <v>952</v>
      </c>
      <c r="E762" s="171">
        <v>484</v>
      </c>
      <c r="F762" s="171">
        <v>468</v>
      </c>
      <c r="G762" s="10"/>
    </row>
    <row r="763" spans="1:7" s="43" customFormat="1" ht="22.5" customHeight="1" x14ac:dyDescent="0.15">
      <c r="A763" s="182"/>
      <c r="B763" s="19" t="s">
        <v>711</v>
      </c>
      <c r="C763" s="171">
        <v>357</v>
      </c>
      <c r="D763" s="231">
        <v>420</v>
      </c>
      <c r="E763" s="171">
        <v>318</v>
      </c>
      <c r="F763" s="171">
        <v>102</v>
      </c>
      <c r="G763" s="10"/>
    </row>
    <row r="764" spans="1:7" s="43" customFormat="1" ht="22.5" customHeight="1" x14ac:dyDescent="0.15">
      <c r="A764" s="182"/>
      <c r="B764" s="19" t="s">
        <v>712</v>
      </c>
      <c r="C764" s="171">
        <v>322</v>
      </c>
      <c r="D764" s="231">
        <v>785</v>
      </c>
      <c r="E764" s="171">
        <v>410</v>
      </c>
      <c r="F764" s="171">
        <v>375</v>
      </c>
      <c r="G764" s="10"/>
    </row>
    <row r="765" spans="1:7" s="43" customFormat="1" ht="22.5" customHeight="1" x14ac:dyDescent="0.15">
      <c r="A765" s="182"/>
      <c r="B765" s="19" t="s">
        <v>713</v>
      </c>
      <c r="C765" s="171">
        <v>365</v>
      </c>
      <c r="D765" s="231">
        <v>858</v>
      </c>
      <c r="E765" s="171">
        <v>462</v>
      </c>
      <c r="F765" s="171">
        <v>396</v>
      </c>
      <c r="G765" s="10"/>
    </row>
    <row r="766" spans="1:7" s="43" customFormat="1" ht="22.5" customHeight="1" x14ac:dyDescent="0.15">
      <c r="A766" s="182"/>
      <c r="B766" s="19" t="s">
        <v>714</v>
      </c>
      <c r="C766" s="171">
        <v>346</v>
      </c>
      <c r="D766" s="231">
        <v>870</v>
      </c>
      <c r="E766" s="171">
        <v>444</v>
      </c>
      <c r="F766" s="171">
        <v>426</v>
      </c>
      <c r="G766" s="10"/>
    </row>
    <row r="767" spans="1:7" s="43" customFormat="1" ht="22.5" customHeight="1" x14ac:dyDescent="0.15">
      <c r="A767" s="182"/>
      <c r="B767" s="19" t="s">
        <v>715</v>
      </c>
      <c r="C767" s="276">
        <v>394</v>
      </c>
      <c r="D767" s="231">
        <v>908</v>
      </c>
      <c r="E767" s="276">
        <v>470</v>
      </c>
      <c r="F767" s="276">
        <v>438</v>
      </c>
      <c r="G767" s="10"/>
    </row>
    <row r="768" spans="1:7" s="43" customFormat="1" ht="22.5" customHeight="1" x14ac:dyDescent="0.15">
      <c r="A768" s="182"/>
      <c r="B768" s="19" t="s">
        <v>716</v>
      </c>
      <c r="C768" s="276">
        <v>90</v>
      </c>
      <c r="D768" s="231">
        <v>187</v>
      </c>
      <c r="E768" s="276">
        <v>98</v>
      </c>
      <c r="F768" s="276">
        <v>89</v>
      </c>
      <c r="G768" s="10"/>
    </row>
    <row r="769" spans="1:7" s="43" customFormat="1" ht="22.5" customHeight="1" x14ac:dyDescent="0.15">
      <c r="A769" s="182"/>
      <c r="B769" s="19" t="s">
        <v>717</v>
      </c>
      <c r="C769" s="171">
        <v>60</v>
      </c>
      <c r="D769" s="231">
        <v>116</v>
      </c>
      <c r="E769" s="171">
        <v>60</v>
      </c>
      <c r="F769" s="171">
        <v>56</v>
      </c>
      <c r="G769" s="10"/>
    </row>
    <row r="770" spans="1:7" s="43" customFormat="1" ht="22.5" customHeight="1" x14ac:dyDescent="0.15">
      <c r="A770" s="182"/>
      <c r="B770" s="19" t="s">
        <v>718</v>
      </c>
      <c r="C770" s="171">
        <v>33</v>
      </c>
      <c r="D770" s="231">
        <v>73</v>
      </c>
      <c r="E770" s="171">
        <v>38</v>
      </c>
      <c r="F770" s="171">
        <v>35</v>
      </c>
      <c r="G770" s="10"/>
    </row>
    <row r="771" spans="1:7" s="43" customFormat="1" ht="22.5" customHeight="1" x14ac:dyDescent="0.15">
      <c r="A771" s="182"/>
      <c r="B771" s="21" t="s">
        <v>719</v>
      </c>
      <c r="C771" s="171">
        <v>167</v>
      </c>
      <c r="D771" s="231">
        <v>296</v>
      </c>
      <c r="E771" s="171">
        <v>158</v>
      </c>
      <c r="F771" s="171">
        <v>138</v>
      </c>
      <c r="G771" s="15"/>
    </row>
    <row r="772" spans="1:7" s="43" customFormat="1" ht="22.5" customHeight="1" x14ac:dyDescent="0.15">
      <c r="A772" s="182"/>
      <c r="B772" s="19" t="s">
        <v>720</v>
      </c>
      <c r="C772" s="171">
        <v>220</v>
      </c>
      <c r="D772" s="231">
        <v>368</v>
      </c>
      <c r="E772" s="171">
        <v>212</v>
      </c>
      <c r="F772" s="171">
        <v>156</v>
      </c>
      <c r="G772" s="10"/>
    </row>
    <row r="773" spans="1:7" s="43" customFormat="1" ht="22.5" customHeight="1" x14ac:dyDescent="0.15">
      <c r="A773" s="182"/>
      <c r="B773" s="19" t="s">
        <v>302</v>
      </c>
      <c r="C773" s="171">
        <v>78</v>
      </c>
      <c r="D773" s="231">
        <v>158</v>
      </c>
      <c r="E773" s="171">
        <v>85</v>
      </c>
      <c r="F773" s="171">
        <v>73</v>
      </c>
      <c r="G773" s="10"/>
    </row>
    <row r="774" spans="1:7" s="43" customFormat="1" ht="22.5" customHeight="1" x14ac:dyDescent="0.15">
      <c r="A774" s="182"/>
      <c r="B774" s="19" t="s">
        <v>721</v>
      </c>
      <c r="C774" s="171">
        <v>57</v>
      </c>
      <c r="D774" s="231">
        <v>111</v>
      </c>
      <c r="E774" s="171">
        <v>62</v>
      </c>
      <c r="F774" s="171">
        <v>49</v>
      </c>
      <c r="G774" s="10"/>
    </row>
    <row r="775" spans="1:7" s="43" customFormat="1" ht="22.5" customHeight="1" x14ac:dyDescent="0.15">
      <c r="A775" s="182"/>
      <c r="B775" s="19" t="s">
        <v>722</v>
      </c>
      <c r="C775" s="171">
        <v>332</v>
      </c>
      <c r="D775" s="231">
        <v>679</v>
      </c>
      <c r="E775" s="171">
        <v>345</v>
      </c>
      <c r="F775" s="171">
        <v>334</v>
      </c>
      <c r="G775" s="10"/>
    </row>
    <row r="776" spans="1:7" s="43" customFormat="1" ht="22.5" customHeight="1" x14ac:dyDescent="0.15">
      <c r="A776" s="182"/>
      <c r="B776" s="19" t="s">
        <v>723</v>
      </c>
      <c r="C776" s="171">
        <v>260</v>
      </c>
      <c r="D776" s="231">
        <v>519</v>
      </c>
      <c r="E776" s="171">
        <v>264</v>
      </c>
      <c r="F776" s="171">
        <v>255</v>
      </c>
      <c r="G776" s="10"/>
    </row>
    <row r="777" spans="1:7" s="43" customFormat="1" ht="22.5" customHeight="1" x14ac:dyDescent="0.15">
      <c r="A777" s="182"/>
      <c r="B777" s="19" t="s">
        <v>724</v>
      </c>
      <c r="C777" s="171">
        <v>202</v>
      </c>
      <c r="D777" s="231">
        <v>336</v>
      </c>
      <c r="E777" s="171">
        <v>181</v>
      </c>
      <c r="F777" s="171">
        <v>155</v>
      </c>
      <c r="G777" s="10"/>
    </row>
    <row r="778" spans="1:7" s="43" customFormat="1" ht="22.5" customHeight="1" x14ac:dyDescent="0.15">
      <c r="A778" s="182"/>
      <c r="B778" s="19" t="s">
        <v>303</v>
      </c>
      <c r="C778" s="171">
        <v>63</v>
      </c>
      <c r="D778" s="231">
        <v>101</v>
      </c>
      <c r="E778" s="171">
        <v>73</v>
      </c>
      <c r="F778" s="171">
        <v>28</v>
      </c>
      <c r="G778" s="10"/>
    </row>
    <row r="779" spans="1:7" s="43" customFormat="1" ht="22.5" customHeight="1" x14ac:dyDescent="0.15">
      <c r="A779" s="182"/>
      <c r="B779" s="19" t="s">
        <v>725</v>
      </c>
      <c r="C779" s="171">
        <v>103</v>
      </c>
      <c r="D779" s="231">
        <v>170</v>
      </c>
      <c r="E779" s="171">
        <v>102</v>
      </c>
      <c r="F779" s="171">
        <v>68</v>
      </c>
      <c r="G779" s="10"/>
    </row>
    <row r="780" spans="1:7" s="43" customFormat="1" ht="22.5" customHeight="1" x14ac:dyDescent="0.15">
      <c r="A780" s="182"/>
      <c r="B780" s="19" t="s">
        <v>726</v>
      </c>
      <c r="C780" s="171">
        <v>86</v>
      </c>
      <c r="D780" s="231">
        <v>173</v>
      </c>
      <c r="E780" s="171">
        <v>95</v>
      </c>
      <c r="F780" s="171">
        <v>78</v>
      </c>
      <c r="G780" s="10"/>
    </row>
    <row r="781" spans="1:7" s="43" customFormat="1" ht="22.5" customHeight="1" x14ac:dyDescent="0.15">
      <c r="A781" s="182"/>
      <c r="B781" s="19" t="s">
        <v>727</v>
      </c>
      <c r="C781" s="171">
        <v>101</v>
      </c>
      <c r="D781" s="231">
        <v>167</v>
      </c>
      <c r="E781" s="171">
        <v>90</v>
      </c>
      <c r="F781" s="171">
        <v>77</v>
      </c>
      <c r="G781" s="10"/>
    </row>
    <row r="782" spans="1:7" s="43" customFormat="1" ht="22.5" customHeight="1" x14ac:dyDescent="0.15">
      <c r="A782" s="182"/>
      <c r="B782" s="19" t="s">
        <v>728</v>
      </c>
      <c r="C782" s="171">
        <v>107</v>
      </c>
      <c r="D782" s="231">
        <v>199</v>
      </c>
      <c r="E782" s="171">
        <v>110</v>
      </c>
      <c r="F782" s="171">
        <v>89</v>
      </c>
      <c r="G782" s="10"/>
    </row>
    <row r="783" spans="1:7" s="43" customFormat="1" ht="22.5" customHeight="1" thickBot="1" x14ac:dyDescent="0.2">
      <c r="A783" s="183"/>
      <c r="B783" s="24" t="s">
        <v>729</v>
      </c>
      <c r="C783" s="277">
        <v>119</v>
      </c>
      <c r="D783" s="231">
        <v>176</v>
      </c>
      <c r="E783" s="277">
        <v>115</v>
      </c>
      <c r="F783" s="277">
        <v>61</v>
      </c>
      <c r="G783" s="25"/>
    </row>
    <row r="784" spans="1:7" s="43" customFormat="1" ht="22.5" customHeight="1" thickTop="1" x14ac:dyDescent="0.15">
      <c r="A784" s="180" t="s">
        <v>304</v>
      </c>
      <c r="B784" s="7" t="s">
        <v>0</v>
      </c>
      <c r="C784" s="124">
        <f>SUM(C785:C828)</f>
        <v>4155</v>
      </c>
      <c r="D784" s="125">
        <f>SUM(D785:D828)</f>
        <v>7328</v>
      </c>
      <c r="E784" s="124">
        <f>SUM(E785:E828)</f>
        <v>3993</v>
      </c>
      <c r="F784" s="124">
        <f>SUM(F785:F828)</f>
        <v>3335</v>
      </c>
      <c r="G784" s="8"/>
    </row>
    <row r="785" spans="1:7" s="43" customFormat="1" ht="22.5" customHeight="1" x14ac:dyDescent="0.15">
      <c r="A785" s="181"/>
      <c r="B785" s="19" t="s">
        <v>730</v>
      </c>
      <c r="C785" s="226">
        <v>140</v>
      </c>
      <c r="D785" s="234">
        <v>202</v>
      </c>
      <c r="E785" s="226">
        <v>122</v>
      </c>
      <c r="F785" s="226">
        <v>80</v>
      </c>
      <c r="G785" s="10"/>
    </row>
    <row r="786" spans="1:7" s="43" customFormat="1" ht="22.5" customHeight="1" x14ac:dyDescent="0.15">
      <c r="A786" s="181"/>
      <c r="B786" s="21" t="s">
        <v>731</v>
      </c>
      <c r="C786" s="235">
        <v>65</v>
      </c>
      <c r="D786" s="234">
        <v>90</v>
      </c>
      <c r="E786" s="235">
        <v>44</v>
      </c>
      <c r="F786" s="235">
        <v>46</v>
      </c>
      <c r="G786" s="15"/>
    </row>
    <row r="787" spans="1:7" s="43" customFormat="1" ht="22.5" customHeight="1" x14ac:dyDescent="0.15">
      <c r="A787" s="182"/>
      <c r="B787" s="19" t="s">
        <v>732</v>
      </c>
      <c r="C787" s="226">
        <v>286</v>
      </c>
      <c r="D787" s="234">
        <v>435</v>
      </c>
      <c r="E787" s="226">
        <v>269</v>
      </c>
      <c r="F787" s="226">
        <v>166</v>
      </c>
      <c r="G787" s="10"/>
    </row>
    <row r="788" spans="1:7" s="43" customFormat="1" ht="22.5" customHeight="1" x14ac:dyDescent="0.15">
      <c r="A788" s="182"/>
      <c r="B788" s="19" t="s">
        <v>733</v>
      </c>
      <c r="C788" s="226">
        <v>146</v>
      </c>
      <c r="D788" s="234">
        <v>312</v>
      </c>
      <c r="E788" s="226">
        <v>146</v>
      </c>
      <c r="F788" s="226">
        <v>166</v>
      </c>
      <c r="G788" s="10"/>
    </row>
    <row r="789" spans="1:7" s="43" customFormat="1" ht="22.5" customHeight="1" x14ac:dyDescent="0.15">
      <c r="A789" s="182"/>
      <c r="B789" s="19" t="s">
        <v>734</v>
      </c>
      <c r="C789" s="226">
        <v>60</v>
      </c>
      <c r="D789" s="234">
        <v>87</v>
      </c>
      <c r="E789" s="226">
        <v>48</v>
      </c>
      <c r="F789" s="226">
        <v>39</v>
      </c>
      <c r="G789" s="10"/>
    </row>
    <row r="790" spans="1:7" s="43" customFormat="1" ht="22.5" customHeight="1" x14ac:dyDescent="0.15">
      <c r="A790" s="182"/>
      <c r="B790" s="19" t="s">
        <v>735</v>
      </c>
      <c r="C790" s="226">
        <v>48</v>
      </c>
      <c r="D790" s="234">
        <v>86</v>
      </c>
      <c r="E790" s="226">
        <v>40</v>
      </c>
      <c r="F790" s="226">
        <v>46</v>
      </c>
      <c r="G790" s="10"/>
    </row>
    <row r="791" spans="1:7" s="43" customFormat="1" ht="22.5" customHeight="1" x14ac:dyDescent="0.15">
      <c r="A791" s="182"/>
      <c r="B791" s="19" t="s">
        <v>736</v>
      </c>
      <c r="C791" s="226">
        <v>36</v>
      </c>
      <c r="D791" s="234">
        <v>65</v>
      </c>
      <c r="E791" s="226">
        <v>37</v>
      </c>
      <c r="F791" s="226">
        <v>28</v>
      </c>
      <c r="G791" s="10"/>
    </row>
    <row r="792" spans="1:7" s="43" customFormat="1" ht="22.5" customHeight="1" x14ac:dyDescent="0.15">
      <c r="A792" s="182"/>
      <c r="B792" s="19" t="s">
        <v>737</v>
      </c>
      <c r="C792" s="226">
        <v>257</v>
      </c>
      <c r="D792" s="234">
        <v>510</v>
      </c>
      <c r="E792" s="226">
        <v>246</v>
      </c>
      <c r="F792" s="226">
        <v>264</v>
      </c>
      <c r="G792" s="10"/>
    </row>
    <row r="793" spans="1:7" s="43" customFormat="1" ht="22.5" customHeight="1" x14ac:dyDescent="0.15">
      <c r="A793" s="182"/>
      <c r="B793" s="19" t="s">
        <v>305</v>
      </c>
      <c r="C793" s="236">
        <v>55</v>
      </c>
      <c r="D793" s="234">
        <v>92</v>
      </c>
      <c r="E793" s="226">
        <v>50</v>
      </c>
      <c r="F793" s="226">
        <v>42</v>
      </c>
      <c r="G793" s="10"/>
    </row>
    <row r="794" spans="1:7" s="43" customFormat="1" ht="22.5" customHeight="1" x14ac:dyDescent="0.15">
      <c r="A794" s="182"/>
      <c r="B794" s="21" t="s">
        <v>738</v>
      </c>
      <c r="C794" s="226">
        <v>114</v>
      </c>
      <c r="D794" s="234">
        <v>222</v>
      </c>
      <c r="E794" s="235">
        <v>120</v>
      </c>
      <c r="F794" s="235">
        <v>102</v>
      </c>
      <c r="G794" s="15"/>
    </row>
    <row r="795" spans="1:7" s="43" customFormat="1" ht="22.5" customHeight="1" x14ac:dyDescent="0.15">
      <c r="A795" s="182"/>
      <c r="B795" s="19" t="s">
        <v>739</v>
      </c>
      <c r="C795" s="235">
        <v>127</v>
      </c>
      <c r="D795" s="234">
        <v>213</v>
      </c>
      <c r="E795" s="226">
        <v>123</v>
      </c>
      <c r="F795" s="226">
        <v>90</v>
      </c>
      <c r="G795" s="10"/>
    </row>
    <row r="796" spans="1:7" s="43" customFormat="1" ht="22.5" customHeight="1" x14ac:dyDescent="0.15">
      <c r="A796" s="182"/>
      <c r="B796" s="19" t="s">
        <v>740</v>
      </c>
      <c r="C796" s="226">
        <v>87</v>
      </c>
      <c r="D796" s="234">
        <v>159</v>
      </c>
      <c r="E796" s="226">
        <v>83</v>
      </c>
      <c r="F796" s="226">
        <v>76</v>
      </c>
      <c r="G796" s="10"/>
    </row>
    <row r="797" spans="1:7" s="43" customFormat="1" ht="22.5" customHeight="1" x14ac:dyDescent="0.15">
      <c r="A797" s="182"/>
      <c r="B797" s="19" t="s">
        <v>741</v>
      </c>
      <c r="C797" s="226">
        <v>68</v>
      </c>
      <c r="D797" s="234">
        <v>117</v>
      </c>
      <c r="E797" s="226">
        <v>70</v>
      </c>
      <c r="F797" s="226">
        <v>47</v>
      </c>
      <c r="G797" s="10"/>
    </row>
    <row r="798" spans="1:7" s="43" customFormat="1" ht="22.5" customHeight="1" x14ac:dyDescent="0.15">
      <c r="A798" s="182"/>
      <c r="B798" s="19" t="s">
        <v>742</v>
      </c>
      <c r="C798" s="226">
        <v>216</v>
      </c>
      <c r="D798" s="234">
        <v>293</v>
      </c>
      <c r="E798" s="226">
        <v>186</v>
      </c>
      <c r="F798" s="226">
        <v>107</v>
      </c>
      <c r="G798" s="10"/>
    </row>
    <row r="799" spans="1:7" s="43" customFormat="1" ht="22.5" customHeight="1" x14ac:dyDescent="0.15">
      <c r="A799" s="182"/>
      <c r="B799" s="19" t="s">
        <v>743</v>
      </c>
      <c r="C799" s="226">
        <v>280</v>
      </c>
      <c r="D799" s="234">
        <v>506</v>
      </c>
      <c r="E799" s="226">
        <v>295</v>
      </c>
      <c r="F799" s="226">
        <v>211</v>
      </c>
      <c r="G799" s="10"/>
    </row>
    <row r="800" spans="1:7" s="43" customFormat="1" ht="22.5" customHeight="1" x14ac:dyDescent="0.15">
      <c r="A800" s="182"/>
      <c r="B800" s="19" t="s">
        <v>306</v>
      </c>
      <c r="C800" s="226">
        <v>115</v>
      </c>
      <c r="D800" s="234">
        <v>199</v>
      </c>
      <c r="E800" s="226">
        <v>108</v>
      </c>
      <c r="F800" s="226">
        <v>91</v>
      </c>
      <c r="G800" s="10"/>
    </row>
    <row r="801" spans="1:7" s="43" customFormat="1" ht="22.5" customHeight="1" x14ac:dyDescent="0.15">
      <c r="A801" s="182"/>
      <c r="B801" s="19" t="s">
        <v>744</v>
      </c>
      <c r="C801" s="226">
        <v>80</v>
      </c>
      <c r="D801" s="234">
        <v>147</v>
      </c>
      <c r="E801" s="226">
        <v>83</v>
      </c>
      <c r="F801" s="226">
        <v>64</v>
      </c>
      <c r="G801" s="10"/>
    </row>
    <row r="802" spans="1:7" s="43" customFormat="1" ht="22.5" customHeight="1" x14ac:dyDescent="0.15">
      <c r="A802" s="182"/>
      <c r="B802" s="19" t="s">
        <v>745</v>
      </c>
      <c r="C802" s="226">
        <v>99</v>
      </c>
      <c r="D802" s="234">
        <v>173</v>
      </c>
      <c r="E802" s="226">
        <v>83</v>
      </c>
      <c r="F802" s="226">
        <v>90</v>
      </c>
      <c r="G802" s="10"/>
    </row>
    <row r="803" spans="1:7" s="43" customFormat="1" ht="22.5" customHeight="1" x14ac:dyDescent="0.15">
      <c r="A803" s="182"/>
      <c r="B803" s="19" t="s">
        <v>746</v>
      </c>
      <c r="C803" s="226">
        <v>70</v>
      </c>
      <c r="D803" s="234">
        <v>131</v>
      </c>
      <c r="E803" s="226">
        <v>73</v>
      </c>
      <c r="F803" s="226">
        <v>58</v>
      </c>
      <c r="G803" s="10"/>
    </row>
    <row r="804" spans="1:7" s="43" customFormat="1" ht="22.5" customHeight="1" x14ac:dyDescent="0.15">
      <c r="A804" s="182"/>
      <c r="B804" s="19" t="s">
        <v>747</v>
      </c>
      <c r="C804" s="226">
        <v>58</v>
      </c>
      <c r="D804" s="234">
        <v>104</v>
      </c>
      <c r="E804" s="226">
        <v>60</v>
      </c>
      <c r="F804" s="226">
        <v>44</v>
      </c>
      <c r="G804" s="10"/>
    </row>
    <row r="805" spans="1:7" s="43" customFormat="1" ht="22.5" customHeight="1" x14ac:dyDescent="0.15">
      <c r="A805" s="182"/>
      <c r="B805" s="19" t="s">
        <v>748</v>
      </c>
      <c r="C805" s="226">
        <v>97</v>
      </c>
      <c r="D805" s="234">
        <v>175</v>
      </c>
      <c r="E805" s="226">
        <v>86</v>
      </c>
      <c r="F805" s="226">
        <v>89</v>
      </c>
      <c r="G805" s="10"/>
    </row>
    <row r="806" spans="1:7" s="43" customFormat="1" ht="22.5" customHeight="1" x14ac:dyDescent="0.15">
      <c r="A806" s="182"/>
      <c r="B806" s="19" t="s">
        <v>749</v>
      </c>
      <c r="C806" s="226">
        <v>106</v>
      </c>
      <c r="D806" s="234">
        <v>212</v>
      </c>
      <c r="E806" s="226">
        <v>117</v>
      </c>
      <c r="F806" s="226">
        <v>95</v>
      </c>
      <c r="G806" s="10"/>
    </row>
    <row r="807" spans="1:7" s="43" customFormat="1" ht="22.5" customHeight="1" x14ac:dyDescent="0.15">
      <c r="A807" s="182"/>
      <c r="B807" s="19" t="s">
        <v>750</v>
      </c>
      <c r="C807" s="226">
        <v>74</v>
      </c>
      <c r="D807" s="234">
        <v>124</v>
      </c>
      <c r="E807" s="226">
        <v>64</v>
      </c>
      <c r="F807" s="226">
        <v>60</v>
      </c>
      <c r="G807" s="10"/>
    </row>
    <row r="808" spans="1:7" s="43" customFormat="1" ht="22.5" customHeight="1" x14ac:dyDescent="0.15">
      <c r="A808" s="182"/>
      <c r="B808" s="19" t="s">
        <v>751</v>
      </c>
      <c r="C808" s="226">
        <v>92</v>
      </c>
      <c r="D808" s="234">
        <v>146</v>
      </c>
      <c r="E808" s="226">
        <v>86</v>
      </c>
      <c r="F808" s="226">
        <v>60</v>
      </c>
      <c r="G808" s="10"/>
    </row>
    <row r="809" spans="1:7" s="43" customFormat="1" ht="22.5" customHeight="1" x14ac:dyDescent="0.15">
      <c r="A809" s="182"/>
      <c r="B809" s="19" t="s">
        <v>540</v>
      </c>
      <c r="C809" s="226">
        <v>120</v>
      </c>
      <c r="D809" s="234">
        <v>233</v>
      </c>
      <c r="E809" s="226">
        <v>127</v>
      </c>
      <c r="F809" s="226">
        <v>106</v>
      </c>
      <c r="G809" s="10"/>
    </row>
    <row r="810" spans="1:7" s="43" customFormat="1" ht="22.5" customHeight="1" x14ac:dyDescent="0.15">
      <c r="A810" s="182"/>
      <c r="B810" s="19" t="s">
        <v>541</v>
      </c>
      <c r="C810" s="226">
        <v>73</v>
      </c>
      <c r="D810" s="234">
        <v>141</v>
      </c>
      <c r="E810" s="226">
        <v>74</v>
      </c>
      <c r="F810" s="226">
        <v>67</v>
      </c>
      <c r="G810" s="10"/>
    </row>
    <row r="811" spans="1:7" s="43" customFormat="1" ht="22.5" customHeight="1" x14ac:dyDescent="0.15">
      <c r="A811" s="182"/>
      <c r="B811" s="19" t="s">
        <v>542</v>
      </c>
      <c r="C811" s="226">
        <v>189</v>
      </c>
      <c r="D811" s="234">
        <v>353</v>
      </c>
      <c r="E811" s="226">
        <v>181</v>
      </c>
      <c r="F811" s="226">
        <v>172</v>
      </c>
      <c r="G811" s="10"/>
    </row>
    <row r="812" spans="1:7" s="43" customFormat="1" ht="22.5" customHeight="1" x14ac:dyDescent="0.15">
      <c r="A812" s="182"/>
      <c r="B812" s="21" t="s">
        <v>752</v>
      </c>
      <c r="C812" s="235">
        <v>68</v>
      </c>
      <c r="D812" s="234">
        <v>119</v>
      </c>
      <c r="E812" s="235">
        <v>57</v>
      </c>
      <c r="F812" s="235">
        <v>62</v>
      </c>
      <c r="G812" s="15"/>
    </row>
    <row r="813" spans="1:7" s="43" customFormat="1" ht="22.5" customHeight="1" x14ac:dyDescent="0.15">
      <c r="A813" s="182"/>
      <c r="B813" s="19" t="s">
        <v>753</v>
      </c>
      <c r="C813" s="226">
        <v>95</v>
      </c>
      <c r="D813" s="234">
        <v>160</v>
      </c>
      <c r="E813" s="226">
        <v>91</v>
      </c>
      <c r="F813" s="226">
        <v>69</v>
      </c>
      <c r="G813" s="10"/>
    </row>
    <row r="814" spans="1:7" s="43" customFormat="1" ht="22.5" customHeight="1" x14ac:dyDescent="0.15">
      <c r="A814" s="182"/>
      <c r="B814" s="19" t="s">
        <v>754</v>
      </c>
      <c r="C814" s="226">
        <v>48</v>
      </c>
      <c r="D814" s="234">
        <v>89</v>
      </c>
      <c r="E814" s="226">
        <v>48</v>
      </c>
      <c r="F814" s="226">
        <v>41</v>
      </c>
      <c r="G814" s="10"/>
    </row>
    <row r="815" spans="1:7" s="43" customFormat="1" ht="22.5" customHeight="1" x14ac:dyDescent="0.15">
      <c r="A815" s="182"/>
      <c r="B815" s="19" t="s">
        <v>755</v>
      </c>
      <c r="C815" s="226">
        <v>43</v>
      </c>
      <c r="D815" s="234">
        <v>76</v>
      </c>
      <c r="E815" s="226">
        <v>42</v>
      </c>
      <c r="F815" s="226">
        <v>34</v>
      </c>
      <c r="G815" s="10"/>
    </row>
    <row r="816" spans="1:7" s="43" customFormat="1" ht="22.5" customHeight="1" x14ac:dyDescent="0.15">
      <c r="A816" s="182"/>
      <c r="B816" s="21" t="s">
        <v>307</v>
      </c>
      <c r="C816" s="235">
        <v>39</v>
      </c>
      <c r="D816" s="234">
        <v>67</v>
      </c>
      <c r="E816" s="235">
        <v>40</v>
      </c>
      <c r="F816" s="235">
        <v>27</v>
      </c>
      <c r="G816" s="15"/>
    </row>
    <row r="817" spans="1:7" s="43" customFormat="1" ht="22.5" customHeight="1" x14ac:dyDescent="0.15">
      <c r="A817" s="182"/>
      <c r="B817" s="19" t="s">
        <v>756</v>
      </c>
      <c r="C817" s="226">
        <v>45</v>
      </c>
      <c r="D817" s="234">
        <v>76</v>
      </c>
      <c r="E817" s="226">
        <v>39</v>
      </c>
      <c r="F817" s="226">
        <v>37</v>
      </c>
      <c r="G817" s="10"/>
    </row>
    <row r="818" spans="1:7" s="43" customFormat="1" ht="22.5" customHeight="1" x14ac:dyDescent="0.15">
      <c r="A818" s="182"/>
      <c r="B818" s="19" t="s">
        <v>757</v>
      </c>
      <c r="C818" s="226">
        <v>35</v>
      </c>
      <c r="D818" s="234">
        <v>60</v>
      </c>
      <c r="E818" s="226">
        <v>32</v>
      </c>
      <c r="F818" s="226">
        <v>28</v>
      </c>
      <c r="G818" s="10"/>
    </row>
    <row r="819" spans="1:7" s="43" customFormat="1" ht="22.5" customHeight="1" x14ac:dyDescent="0.15">
      <c r="A819" s="182"/>
      <c r="B819" s="19" t="s">
        <v>758</v>
      </c>
      <c r="C819" s="226">
        <v>77</v>
      </c>
      <c r="D819" s="234">
        <v>150</v>
      </c>
      <c r="E819" s="226">
        <v>79</v>
      </c>
      <c r="F819" s="226">
        <v>71</v>
      </c>
      <c r="G819" s="10"/>
    </row>
    <row r="820" spans="1:7" s="43" customFormat="1" ht="22.5" customHeight="1" x14ac:dyDescent="0.15">
      <c r="A820" s="182"/>
      <c r="B820" s="19" t="s">
        <v>759</v>
      </c>
      <c r="C820" s="226">
        <v>33</v>
      </c>
      <c r="D820" s="234">
        <v>69</v>
      </c>
      <c r="E820" s="226">
        <v>38</v>
      </c>
      <c r="F820" s="226">
        <v>31</v>
      </c>
      <c r="G820" s="10"/>
    </row>
    <row r="821" spans="1:7" s="43" customFormat="1" ht="22.5" customHeight="1" x14ac:dyDescent="0.15">
      <c r="A821" s="182"/>
      <c r="B821" s="19" t="s">
        <v>760</v>
      </c>
      <c r="C821" s="226">
        <v>74</v>
      </c>
      <c r="D821" s="234">
        <v>124</v>
      </c>
      <c r="E821" s="226">
        <v>68</v>
      </c>
      <c r="F821" s="226">
        <v>56</v>
      </c>
      <c r="G821" s="10"/>
    </row>
    <row r="822" spans="1:7" s="43" customFormat="1" ht="22.5" customHeight="1" x14ac:dyDescent="0.15">
      <c r="A822" s="182"/>
      <c r="B822" s="19" t="s">
        <v>761</v>
      </c>
      <c r="C822" s="226">
        <v>54</v>
      </c>
      <c r="D822" s="234">
        <v>110</v>
      </c>
      <c r="E822" s="226">
        <v>61</v>
      </c>
      <c r="F822" s="226">
        <v>49</v>
      </c>
      <c r="G822" s="10"/>
    </row>
    <row r="823" spans="1:7" s="43" customFormat="1" ht="22.5" customHeight="1" x14ac:dyDescent="0.15">
      <c r="A823" s="182"/>
      <c r="B823" s="19" t="s">
        <v>779</v>
      </c>
      <c r="C823" s="226">
        <v>38</v>
      </c>
      <c r="D823" s="234">
        <v>73</v>
      </c>
      <c r="E823" s="226">
        <v>39</v>
      </c>
      <c r="F823" s="226">
        <v>34</v>
      </c>
      <c r="G823" s="10"/>
    </row>
    <row r="824" spans="1:7" s="43" customFormat="1" ht="22.5" customHeight="1" x14ac:dyDescent="0.15">
      <c r="A824" s="182"/>
      <c r="B824" s="19" t="s">
        <v>780</v>
      </c>
      <c r="C824" s="226">
        <v>57</v>
      </c>
      <c r="D824" s="234">
        <v>106</v>
      </c>
      <c r="E824" s="226">
        <v>54</v>
      </c>
      <c r="F824" s="226">
        <v>52</v>
      </c>
      <c r="G824" s="10"/>
    </row>
    <row r="825" spans="1:7" s="43" customFormat="1" ht="22.5" customHeight="1" x14ac:dyDescent="0.15">
      <c r="A825" s="182"/>
      <c r="B825" s="19" t="s">
        <v>781</v>
      </c>
      <c r="C825" s="226">
        <v>43</v>
      </c>
      <c r="D825" s="234">
        <v>73</v>
      </c>
      <c r="E825" s="226">
        <v>40</v>
      </c>
      <c r="F825" s="226">
        <v>33</v>
      </c>
      <c r="G825" s="10"/>
    </row>
    <row r="826" spans="1:7" s="43" customFormat="1" ht="22.5" customHeight="1" x14ac:dyDescent="0.15">
      <c r="A826" s="182"/>
      <c r="B826" s="19" t="s">
        <v>782</v>
      </c>
      <c r="C826" s="226">
        <v>87</v>
      </c>
      <c r="D826" s="234">
        <v>171</v>
      </c>
      <c r="E826" s="226">
        <v>91</v>
      </c>
      <c r="F826" s="226">
        <v>80</v>
      </c>
      <c r="G826" s="10"/>
    </row>
    <row r="827" spans="1:7" s="43" customFormat="1" ht="22.5" customHeight="1" x14ac:dyDescent="0.15">
      <c r="A827" s="182"/>
      <c r="B827" s="19" t="s">
        <v>762</v>
      </c>
      <c r="C827" s="226">
        <v>51</v>
      </c>
      <c r="D827" s="234">
        <v>108</v>
      </c>
      <c r="E827" s="226">
        <v>53</v>
      </c>
      <c r="F827" s="226">
        <v>55</v>
      </c>
      <c r="G827" s="10"/>
    </row>
    <row r="828" spans="1:7" s="43" customFormat="1" ht="22.5" customHeight="1" thickBot="1" x14ac:dyDescent="0.2">
      <c r="A828" s="183"/>
      <c r="B828" s="24" t="s">
        <v>763</v>
      </c>
      <c r="C828" s="237">
        <v>110</v>
      </c>
      <c r="D828" s="234">
        <v>170</v>
      </c>
      <c r="E828" s="237">
        <v>100</v>
      </c>
      <c r="F828" s="237">
        <v>70</v>
      </c>
      <c r="G828" s="25"/>
    </row>
    <row r="829" spans="1:7" s="43" customFormat="1" ht="22.5" customHeight="1" thickTop="1" x14ac:dyDescent="0.15">
      <c r="A829" s="180" t="s">
        <v>308</v>
      </c>
      <c r="B829" s="26" t="s">
        <v>0</v>
      </c>
      <c r="C829" s="128">
        <f>SUM(C830:C865)</f>
        <v>9591</v>
      </c>
      <c r="D829" s="125">
        <f>SUM(D830:D865)</f>
        <v>16778</v>
      </c>
      <c r="E829" s="124">
        <f>SUM(E830:E865)</f>
        <v>8900</v>
      </c>
      <c r="F829" s="124">
        <f>SUM(F830:F865)</f>
        <v>7878</v>
      </c>
      <c r="G829" s="27"/>
    </row>
    <row r="830" spans="1:7" s="43" customFormat="1" ht="22.5" customHeight="1" x14ac:dyDescent="0.15">
      <c r="A830" s="181"/>
      <c r="B830" s="19" t="s">
        <v>86</v>
      </c>
      <c r="C830" s="162">
        <v>123</v>
      </c>
      <c r="D830" s="234">
        <v>179</v>
      </c>
      <c r="E830" s="162">
        <v>103</v>
      </c>
      <c r="F830" s="162">
        <v>76</v>
      </c>
      <c r="G830" s="10"/>
    </row>
    <row r="831" spans="1:7" s="43" customFormat="1" ht="22.5" customHeight="1" x14ac:dyDescent="0.15">
      <c r="A831" s="181"/>
      <c r="B831" s="19" t="s">
        <v>67</v>
      </c>
      <c r="C831" s="162">
        <v>159</v>
      </c>
      <c r="D831" s="234">
        <v>313</v>
      </c>
      <c r="E831" s="162">
        <v>165</v>
      </c>
      <c r="F831" s="162">
        <v>148</v>
      </c>
      <c r="G831" s="10"/>
    </row>
    <row r="832" spans="1:7" s="43" customFormat="1" ht="22.5" customHeight="1" x14ac:dyDescent="0.15">
      <c r="A832" s="181"/>
      <c r="B832" s="19" t="s">
        <v>68</v>
      </c>
      <c r="C832" s="162">
        <v>65</v>
      </c>
      <c r="D832" s="234">
        <v>112</v>
      </c>
      <c r="E832" s="162">
        <v>70</v>
      </c>
      <c r="F832" s="162">
        <v>42</v>
      </c>
      <c r="G832" s="10"/>
    </row>
    <row r="833" spans="1:7" s="43" customFormat="1" ht="22.5" customHeight="1" x14ac:dyDescent="0.15">
      <c r="A833" s="181"/>
      <c r="B833" s="19" t="s">
        <v>69</v>
      </c>
      <c r="C833" s="162">
        <v>104</v>
      </c>
      <c r="D833" s="234">
        <v>161</v>
      </c>
      <c r="E833" s="162">
        <v>84</v>
      </c>
      <c r="F833" s="162">
        <v>77</v>
      </c>
      <c r="G833" s="10"/>
    </row>
    <row r="834" spans="1:7" s="43" customFormat="1" ht="22.5" customHeight="1" x14ac:dyDescent="0.15">
      <c r="A834" s="181"/>
      <c r="B834" s="19" t="s">
        <v>70</v>
      </c>
      <c r="C834" s="162">
        <v>204</v>
      </c>
      <c r="D834" s="234">
        <v>359</v>
      </c>
      <c r="E834" s="162">
        <v>185</v>
      </c>
      <c r="F834" s="162">
        <v>174</v>
      </c>
      <c r="G834" s="10"/>
    </row>
    <row r="835" spans="1:7" s="43" customFormat="1" ht="22.5" customHeight="1" x14ac:dyDescent="0.15">
      <c r="A835" s="181"/>
      <c r="B835" s="19" t="s">
        <v>71</v>
      </c>
      <c r="C835" s="162">
        <v>244</v>
      </c>
      <c r="D835" s="234">
        <v>391</v>
      </c>
      <c r="E835" s="162">
        <v>225</v>
      </c>
      <c r="F835" s="162">
        <v>166</v>
      </c>
      <c r="G835" s="10"/>
    </row>
    <row r="836" spans="1:7" s="43" customFormat="1" ht="22.5" customHeight="1" x14ac:dyDescent="0.15">
      <c r="A836" s="181"/>
      <c r="B836" s="19" t="s">
        <v>72</v>
      </c>
      <c r="C836" s="162">
        <v>227</v>
      </c>
      <c r="D836" s="234">
        <v>446</v>
      </c>
      <c r="E836" s="162">
        <v>219</v>
      </c>
      <c r="F836" s="162">
        <v>227</v>
      </c>
      <c r="G836" s="10"/>
    </row>
    <row r="837" spans="1:7" s="43" customFormat="1" ht="22.5" customHeight="1" x14ac:dyDescent="0.15">
      <c r="A837" s="181"/>
      <c r="B837" s="19" t="s">
        <v>73</v>
      </c>
      <c r="C837" s="162">
        <v>72</v>
      </c>
      <c r="D837" s="234">
        <v>132</v>
      </c>
      <c r="E837" s="162">
        <v>70</v>
      </c>
      <c r="F837" s="162">
        <v>62</v>
      </c>
      <c r="G837" s="10"/>
    </row>
    <row r="838" spans="1:7" s="43" customFormat="1" ht="22.5" customHeight="1" x14ac:dyDescent="0.15">
      <c r="A838" s="181"/>
      <c r="B838" s="20" t="s">
        <v>74</v>
      </c>
      <c r="C838" s="162">
        <v>360</v>
      </c>
      <c r="D838" s="234">
        <v>600</v>
      </c>
      <c r="E838" s="162">
        <v>327</v>
      </c>
      <c r="F838" s="162">
        <v>273</v>
      </c>
      <c r="G838" s="12"/>
    </row>
    <row r="839" spans="1:7" s="43" customFormat="1" ht="22.5" customHeight="1" x14ac:dyDescent="0.15">
      <c r="A839" s="181"/>
      <c r="B839" s="19" t="s">
        <v>75</v>
      </c>
      <c r="C839" s="162">
        <v>301</v>
      </c>
      <c r="D839" s="234">
        <v>515</v>
      </c>
      <c r="E839" s="162">
        <v>269</v>
      </c>
      <c r="F839" s="162">
        <v>246</v>
      </c>
      <c r="G839" s="10"/>
    </row>
    <row r="840" spans="1:7" s="43" customFormat="1" ht="22.5" customHeight="1" x14ac:dyDescent="0.15">
      <c r="A840" s="181"/>
      <c r="B840" s="19" t="s">
        <v>76</v>
      </c>
      <c r="C840" s="162">
        <v>164</v>
      </c>
      <c r="D840" s="234">
        <v>298</v>
      </c>
      <c r="E840" s="162">
        <v>152</v>
      </c>
      <c r="F840" s="162">
        <v>146</v>
      </c>
      <c r="G840" s="10"/>
    </row>
    <row r="841" spans="1:7" s="43" customFormat="1" ht="22.5" customHeight="1" x14ac:dyDescent="0.15">
      <c r="A841" s="181"/>
      <c r="B841" s="19" t="s">
        <v>77</v>
      </c>
      <c r="C841" s="162">
        <v>649</v>
      </c>
      <c r="D841" s="234">
        <v>999</v>
      </c>
      <c r="E841" s="162">
        <v>566</v>
      </c>
      <c r="F841" s="162">
        <v>433</v>
      </c>
      <c r="G841" s="10"/>
    </row>
    <row r="842" spans="1:7" s="43" customFormat="1" ht="22.5" customHeight="1" x14ac:dyDescent="0.15">
      <c r="A842" s="181"/>
      <c r="B842" s="19" t="s">
        <v>78</v>
      </c>
      <c r="C842" s="162">
        <v>477</v>
      </c>
      <c r="D842" s="234">
        <v>586</v>
      </c>
      <c r="E842" s="162">
        <v>399</v>
      </c>
      <c r="F842" s="162">
        <v>187</v>
      </c>
      <c r="G842" s="10"/>
    </row>
    <row r="843" spans="1:7" s="43" customFormat="1" ht="22.5" customHeight="1" x14ac:dyDescent="0.15">
      <c r="A843" s="181"/>
      <c r="B843" s="19" t="s">
        <v>79</v>
      </c>
      <c r="C843" s="162">
        <v>642</v>
      </c>
      <c r="D843" s="234">
        <v>944</v>
      </c>
      <c r="E843" s="162">
        <v>539</v>
      </c>
      <c r="F843" s="162">
        <v>405</v>
      </c>
      <c r="G843" s="10"/>
    </row>
    <row r="844" spans="1:7" s="43" customFormat="1" ht="22.5" customHeight="1" x14ac:dyDescent="0.15">
      <c r="A844" s="181"/>
      <c r="B844" s="19" t="s">
        <v>80</v>
      </c>
      <c r="C844" s="162">
        <v>452</v>
      </c>
      <c r="D844" s="234">
        <v>766</v>
      </c>
      <c r="E844" s="162">
        <v>421</v>
      </c>
      <c r="F844" s="162">
        <v>345</v>
      </c>
      <c r="G844" s="10"/>
    </row>
    <row r="845" spans="1:7" s="43" customFormat="1" ht="22.5" customHeight="1" x14ac:dyDescent="0.15">
      <c r="A845" s="181"/>
      <c r="B845" s="19" t="s">
        <v>81</v>
      </c>
      <c r="C845" s="162">
        <v>200</v>
      </c>
      <c r="D845" s="234">
        <v>270</v>
      </c>
      <c r="E845" s="162">
        <v>123</v>
      </c>
      <c r="F845" s="162">
        <v>147</v>
      </c>
      <c r="G845" s="10"/>
    </row>
    <row r="846" spans="1:7" s="43" customFormat="1" ht="22.5" customHeight="1" x14ac:dyDescent="0.15">
      <c r="A846" s="181"/>
      <c r="B846" s="19" t="s">
        <v>82</v>
      </c>
      <c r="C846" s="162">
        <v>205</v>
      </c>
      <c r="D846" s="234">
        <v>312</v>
      </c>
      <c r="E846" s="162">
        <v>138</v>
      </c>
      <c r="F846" s="162">
        <v>174</v>
      </c>
      <c r="G846" s="10"/>
    </row>
    <row r="847" spans="1:7" s="43" customFormat="1" ht="22.5" customHeight="1" x14ac:dyDescent="0.15">
      <c r="A847" s="181"/>
      <c r="B847" s="19" t="s">
        <v>83</v>
      </c>
      <c r="C847" s="162">
        <v>243</v>
      </c>
      <c r="D847" s="234">
        <v>458</v>
      </c>
      <c r="E847" s="162">
        <v>210</v>
      </c>
      <c r="F847" s="162">
        <v>248</v>
      </c>
      <c r="G847" s="10"/>
    </row>
    <row r="848" spans="1:7" s="43" customFormat="1" ht="22.5" customHeight="1" x14ac:dyDescent="0.15">
      <c r="A848" s="181"/>
      <c r="B848" s="19" t="s">
        <v>84</v>
      </c>
      <c r="C848" s="162">
        <v>201</v>
      </c>
      <c r="D848" s="234">
        <v>395</v>
      </c>
      <c r="E848" s="162">
        <v>184</v>
      </c>
      <c r="F848" s="162">
        <v>211</v>
      </c>
      <c r="G848" s="10"/>
    </row>
    <row r="849" spans="1:7" s="43" customFormat="1" ht="22.5" customHeight="1" x14ac:dyDescent="0.15">
      <c r="A849" s="181"/>
      <c r="B849" s="19" t="s">
        <v>85</v>
      </c>
      <c r="C849" s="162">
        <v>176</v>
      </c>
      <c r="D849" s="234">
        <v>248</v>
      </c>
      <c r="E849" s="162">
        <v>129</v>
      </c>
      <c r="F849" s="162">
        <v>119</v>
      </c>
      <c r="G849" s="10"/>
    </row>
    <row r="850" spans="1:7" s="43" customFormat="1" ht="22.5" customHeight="1" x14ac:dyDescent="0.15">
      <c r="A850" s="181"/>
      <c r="B850" s="19" t="s">
        <v>87</v>
      </c>
      <c r="C850" s="162">
        <v>413</v>
      </c>
      <c r="D850" s="234">
        <v>575</v>
      </c>
      <c r="E850" s="162">
        <v>321</v>
      </c>
      <c r="F850" s="162">
        <v>254</v>
      </c>
      <c r="G850" s="10"/>
    </row>
    <row r="851" spans="1:7" s="43" customFormat="1" ht="22.5" customHeight="1" x14ac:dyDescent="0.15">
      <c r="A851" s="181"/>
      <c r="B851" s="19" t="s">
        <v>88</v>
      </c>
      <c r="C851" s="162">
        <v>98</v>
      </c>
      <c r="D851" s="234">
        <v>180</v>
      </c>
      <c r="E851" s="162">
        <v>95</v>
      </c>
      <c r="F851" s="162">
        <v>85</v>
      </c>
      <c r="G851" s="10"/>
    </row>
    <row r="852" spans="1:7" s="43" customFormat="1" ht="22.5" customHeight="1" x14ac:dyDescent="0.15">
      <c r="A852" s="181"/>
      <c r="B852" s="19" t="s">
        <v>89</v>
      </c>
      <c r="C852" s="162">
        <v>145</v>
      </c>
      <c r="D852" s="234">
        <v>205</v>
      </c>
      <c r="E852" s="162">
        <v>128</v>
      </c>
      <c r="F852" s="162">
        <v>77</v>
      </c>
      <c r="G852" s="10"/>
    </row>
    <row r="853" spans="1:7" s="43" customFormat="1" ht="22.5" customHeight="1" x14ac:dyDescent="0.15">
      <c r="A853" s="181"/>
      <c r="B853" s="19" t="s">
        <v>90</v>
      </c>
      <c r="C853" s="162">
        <v>41</v>
      </c>
      <c r="D853" s="234">
        <v>53</v>
      </c>
      <c r="E853" s="162">
        <v>37</v>
      </c>
      <c r="F853" s="162">
        <v>16</v>
      </c>
      <c r="G853" s="10"/>
    </row>
    <row r="854" spans="1:7" s="43" customFormat="1" ht="22.5" customHeight="1" x14ac:dyDescent="0.15">
      <c r="A854" s="181"/>
      <c r="B854" s="19" t="s">
        <v>91</v>
      </c>
      <c r="C854" s="162">
        <v>655</v>
      </c>
      <c r="D854" s="234">
        <v>820</v>
      </c>
      <c r="E854" s="162">
        <v>497</v>
      </c>
      <c r="F854" s="162">
        <v>323</v>
      </c>
      <c r="G854" s="10"/>
    </row>
    <row r="855" spans="1:7" s="43" customFormat="1" ht="24" customHeight="1" x14ac:dyDescent="0.15">
      <c r="A855" s="181"/>
      <c r="B855" s="19" t="s">
        <v>92</v>
      </c>
      <c r="C855" s="162">
        <v>245</v>
      </c>
      <c r="D855" s="234">
        <v>336</v>
      </c>
      <c r="E855" s="162">
        <v>182</v>
      </c>
      <c r="F855" s="162">
        <v>154</v>
      </c>
      <c r="G855" s="10"/>
    </row>
    <row r="856" spans="1:7" s="43" customFormat="1" ht="24" customHeight="1" x14ac:dyDescent="0.15">
      <c r="A856" s="181"/>
      <c r="B856" s="19" t="s">
        <v>93</v>
      </c>
      <c r="C856" s="162">
        <v>122</v>
      </c>
      <c r="D856" s="234">
        <v>208</v>
      </c>
      <c r="E856" s="162">
        <v>105</v>
      </c>
      <c r="F856" s="162">
        <v>103</v>
      </c>
      <c r="G856" s="10"/>
    </row>
    <row r="857" spans="1:7" s="43" customFormat="1" ht="24" customHeight="1" x14ac:dyDescent="0.15">
      <c r="A857" s="181"/>
      <c r="B857" s="19" t="s">
        <v>94</v>
      </c>
      <c r="C857" s="162">
        <v>228</v>
      </c>
      <c r="D857" s="234">
        <v>319</v>
      </c>
      <c r="E857" s="162">
        <v>188</v>
      </c>
      <c r="F857" s="162">
        <v>131</v>
      </c>
      <c r="G857" s="10"/>
    </row>
    <row r="858" spans="1:7" s="43" customFormat="1" ht="24" customHeight="1" x14ac:dyDescent="0.15">
      <c r="A858" s="181"/>
      <c r="B858" s="19" t="s">
        <v>95</v>
      </c>
      <c r="C858" s="162">
        <v>88</v>
      </c>
      <c r="D858" s="234">
        <v>132</v>
      </c>
      <c r="E858" s="162">
        <v>75</v>
      </c>
      <c r="F858" s="162">
        <v>57</v>
      </c>
      <c r="G858" s="10"/>
    </row>
    <row r="859" spans="1:7" s="43" customFormat="1" ht="24" customHeight="1" x14ac:dyDescent="0.15">
      <c r="A859" s="181"/>
      <c r="B859" s="19" t="s">
        <v>96</v>
      </c>
      <c r="C859" s="162">
        <v>106</v>
      </c>
      <c r="D859" s="234">
        <v>189</v>
      </c>
      <c r="E859" s="162">
        <v>98</v>
      </c>
      <c r="F859" s="162">
        <v>91</v>
      </c>
      <c r="G859" s="10"/>
    </row>
    <row r="860" spans="1:7" s="43" customFormat="1" ht="24" customHeight="1" x14ac:dyDescent="0.15">
      <c r="A860" s="181"/>
      <c r="B860" s="19" t="s">
        <v>97</v>
      </c>
      <c r="C860" s="162">
        <v>323</v>
      </c>
      <c r="D860" s="234">
        <v>799</v>
      </c>
      <c r="E860" s="162">
        <v>391</v>
      </c>
      <c r="F860" s="162">
        <v>408</v>
      </c>
      <c r="G860" s="10"/>
    </row>
    <row r="861" spans="1:7" s="43" customFormat="1" ht="24" customHeight="1" x14ac:dyDescent="0.15">
      <c r="A861" s="181"/>
      <c r="B861" s="19" t="s">
        <v>98</v>
      </c>
      <c r="C861" s="162">
        <v>283</v>
      </c>
      <c r="D861" s="234">
        <v>687</v>
      </c>
      <c r="E861" s="162">
        <v>328</v>
      </c>
      <c r="F861" s="162">
        <v>359</v>
      </c>
      <c r="G861" s="10"/>
    </row>
    <row r="862" spans="1:7" s="43" customFormat="1" ht="24" customHeight="1" x14ac:dyDescent="0.15">
      <c r="A862" s="181"/>
      <c r="B862" s="19" t="s">
        <v>99</v>
      </c>
      <c r="C862" s="162">
        <v>289</v>
      </c>
      <c r="D862" s="234">
        <v>756</v>
      </c>
      <c r="E862" s="162">
        <v>362</v>
      </c>
      <c r="F862" s="162">
        <v>394</v>
      </c>
      <c r="G862" s="10"/>
    </row>
    <row r="863" spans="1:7" s="43" customFormat="1" ht="24" customHeight="1" x14ac:dyDescent="0.15">
      <c r="A863" s="181"/>
      <c r="B863" s="19" t="s">
        <v>100</v>
      </c>
      <c r="C863" s="162">
        <v>514</v>
      </c>
      <c r="D863" s="234">
        <v>1220</v>
      </c>
      <c r="E863" s="162">
        <v>617</v>
      </c>
      <c r="F863" s="162">
        <v>603</v>
      </c>
      <c r="G863" s="10"/>
    </row>
    <row r="864" spans="1:7" s="43" customFormat="1" ht="24" customHeight="1" x14ac:dyDescent="0.15">
      <c r="A864" s="181"/>
      <c r="B864" s="21" t="s">
        <v>101</v>
      </c>
      <c r="C864" s="162">
        <v>521</v>
      </c>
      <c r="D864" s="234">
        <v>1190</v>
      </c>
      <c r="E864" s="162">
        <v>596</v>
      </c>
      <c r="F864" s="162">
        <v>594</v>
      </c>
      <c r="G864" s="119"/>
    </row>
    <row r="865" spans="1:7" s="43" customFormat="1" ht="24" customHeight="1" thickBot="1" x14ac:dyDescent="0.2">
      <c r="A865" s="192"/>
      <c r="B865" s="24" t="s">
        <v>502</v>
      </c>
      <c r="C865" s="164">
        <v>252</v>
      </c>
      <c r="D865" s="234">
        <v>625</v>
      </c>
      <c r="E865" s="164">
        <v>302</v>
      </c>
      <c r="F865" s="164">
        <v>323</v>
      </c>
      <c r="G865" s="118"/>
    </row>
    <row r="866" spans="1:7" s="43" customFormat="1" ht="22.5" customHeight="1" thickTop="1" x14ac:dyDescent="0.15">
      <c r="A866" s="174" t="s">
        <v>309</v>
      </c>
      <c r="B866" s="7" t="s">
        <v>0</v>
      </c>
      <c r="C866" s="124">
        <f>SUM(C867:C895)</f>
        <v>17710</v>
      </c>
      <c r="D866" s="125">
        <f t="shared" ref="D866:F866" si="3">SUM(D867:D895)</f>
        <v>24417</v>
      </c>
      <c r="E866" s="124">
        <f t="shared" si="3"/>
        <v>13821</v>
      </c>
      <c r="F866" s="124">
        <f t="shared" si="3"/>
        <v>10596</v>
      </c>
      <c r="G866" s="8"/>
    </row>
    <row r="867" spans="1:7" s="43" customFormat="1" ht="22.5" customHeight="1" x14ac:dyDescent="0.15">
      <c r="A867" s="175"/>
      <c r="B867" s="21" t="s">
        <v>86</v>
      </c>
      <c r="C867" s="171">
        <v>480</v>
      </c>
      <c r="D867" s="234">
        <v>761</v>
      </c>
      <c r="E867" s="173">
        <v>431</v>
      </c>
      <c r="F867" s="173">
        <v>330</v>
      </c>
      <c r="G867" s="10"/>
    </row>
    <row r="868" spans="1:7" s="43" customFormat="1" ht="22.5" customHeight="1" x14ac:dyDescent="0.15">
      <c r="A868" s="175"/>
      <c r="B868" s="21" t="s">
        <v>67</v>
      </c>
      <c r="C868" s="171">
        <v>392</v>
      </c>
      <c r="D868" s="234">
        <v>587</v>
      </c>
      <c r="E868" s="173">
        <v>359</v>
      </c>
      <c r="F868" s="173">
        <v>228</v>
      </c>
      <c r="G868" s="15"/>
    </row>
    <row r="869" spans="1:7" s="43" customFormat="1" ht="22.5" customHeight="1" x14ac:dyDescent="0.15">
      <c r="A869" s="175"/>
      <c r="B869" s="21" t="s">
        <v>68</v>
      </c>
      <c r="C869" s="171">
        <v>827</v>
      </c>
      <c r="D869" s="234">
        <v>1045</v>
      </c>
      <c r="E869" s="173">
        <v>647</v>
      </c>
      <c r="F869" s="173">
        <v>398</v>
      </c>
      <c r="G869" s="10"/>
    </row>
    <row r="870" spans="1:7" s="43" customFormat="1" ht="22.5" customHeight="1" x14ac:dyDescent="0.15">
      <c r="A870" s="175"/>
      <c r="B870" s="21" t="s">
        <v>69</v>
      </c>
      <c r="C870" s="171">
        <v>640</v>
      </c>
      <c r="D870" s="234">
        <v>880</v>
      </c>
      <c r="E870" s="173">
        <v>523</v>
      </c>
      <c r="F870" s="173">
        <v>357</v>
      </c>
      <c r="G870" s="10"/>
    </row>
    <row r="871" spans="1:7" s="43" customFormat="1" ht="22.5" customHeight="1" x14ac:dyDescent="0.15">
      <c r="A871" s="175"/>
      <c r="B871" s="21" t="s">
        <v>70</v>
      </c>
      <c r="C871" s="171">
        <v>461</v>
      </c>
      <c r="D871" s="234">
        <v>728</v>
      </c>
      <c r="E871" s="173">
        <v>419</v>
      </c>
      <c r="F871" s="173">
        <v>309</v>
      </c>
      <c r="G871" s="10"/>
    </row>
    <row r="872" spans="1:7" s="43" customFormat="1" ht="22.5" customHeight="1" x14ac:dyDescent="0.15">
      <c r="A872" s="175"/>
      <c r="B872" s="19" t="s">
        <v>71</v>
      </c>
      <c r="C872" s="171">
        <v>307</v>
      </c>
      <c r="D872" s="234">
        <v>624</v>
      </c>
      <c r="E872" s="173">
        <v>306</v>
      </c>
      <c r="F872" s="173">
        <v>318</v>
      </c>
      <c r="G872" s="10"/>
    </row>
    <row r="873" spans="1:7" s="43" customFormat="1" ht="22.5" customHeight="1" x14ac:dyDescent="0.15">
      <c r="A873" s="175"/>
      <c r="B873" s="19" t="s">
        <v>72</v>
      </c>
      <c r="C873" s="171">
        <v>263</v>
      </c>
      <c r="D873" s="234">
        <v>630</v>
      </c>
      <c r="E873" s="173">
        <v>293</v>
      </c>
      <c r="F873" s="173">
        <v>337</v>
      </c>
      <c r="G873" s="10"/>
    </row>
    <row r="874" spans="1:7" s="43" customFormat="1" ht="22.5" customHeight="1" x14ac:dyDescent="0.15">
      <c r="A874" s="175"/>
      <c r="B874" s="19" t="s">
        <v>73</v>
      </c>
      <c r="C874" s="171">
        <v>2032</v>
      </c>
      <c r="D874" s="234">
        <v>2322</v>
      </c>
      <c r="E874" s="173">
        <v>1257</v>
      </c>
      <c r="F874" s="173">
        <v>1065</v>
      </c>
      <c r="G874" s="10"/>
    </row>
    <row r="875" spans="1:7" s="43" customFormat="1" ht="22.5" customHeight="1" x14ac:dyDescent="0.15">
      <c r="A875" s="175"/>
      <c r="B875" s="21" t="s">
        <v>74</v>
      </c>
      <c r="C875" s="171">
        <v>1033</v>
      </c>
      <c r="D875" s="234">
        <v>1311</v>
      </c>
      <c r="E875" s="173">
        <v>842</v>
      </c>
      <c r="F875" s="173">
        <v>469</v>
      </c>
      <c r="G875" s="10"/>
    </row>
    <row r="876" spans="1:7" s="43" customFormat="1" ht="22.5" customHeight="1" x14ac:dyDescent="0.15">
      <c r="A876" s="175"/>
      <c r="B876" s="21" t="s">
        <v>75</v>
      </c>
      <c r="C876" s="171">
        <v>721</v>
      </c>
      <c r="D876" s="234">
        <v>940</v>
      </c>
      <c r="E876" s="173">
        <v>575</v>
      </c>
      <c r="F876" s="173">
        <v>365</v>
      </c>
      <c r="G876" s="10"/>
    </row>
    <row r="877" spans="1:7" s="43" customFormat="1" ht="22.5" customHeight="1" x14ac:dyDescent="0.15">
      <c r="A877" s="175"/>
      <c r="B877" s="21" t="s">
        <v>76</v>
      </c>
      <c r="C877" s="171">
        <v>594</v>
      </c>
      <c r="D877" s="234">
        <v>827</v>
      </c>
      <c r="E877" s="173">
        <v>501</v>
      </c>
      <c r="F877" s="173">
        <v>326</v>
      </c>
      <c r="G877" s="10"/>
    </row>
    <row r="878" spans="1:7" s="43" customFormat="1" ht="22.5" customHeight="1" x14ac:dyDescent="0.15">
      <c r="A878" s="175"/>
      <c r="B878" s="21" t="s">
        <v>77</v>
      </c>
      <c r="C878" s="171">
        <v>710</v>
      </c>
      <c r="D878" s="234">
        <v>1025</v>
      </c>
      <c r="E878" s="173">
        <v>600</v>
      </c>
      <c r="F878" s="173">
        <v>425</v>
      </c>
      <c r="G878" s="10"/>
    </row>
    <row r="879" spans="1:7" s="43" customFormat="1" ht="22.5" customHeight="1" x14ac:dyDescent="0.15">
      <c r="A879" s="175"/>
      <c r="B879" s="21" t="s">
        <v>78</v>
      </c>
      <c r="C879" s="171">
        <v>678</v>
      </c>
      <c r="D879" s="234">
        <v>909</v>
      </c>
      <c r="E879" s="173">
        <v>562</v>
      </c>
      <c r="F879" s="173">
        <v>347</v>
      </c>
      <c r="G879" s="10"/>
    </row>
    <row r="880" spans="1:7" s="43" customFormat="1" ht="22.5" customHeight="1" x14ac:dyDescent="0.15">
      <c r="A880" s="175"/>
      <c r="B880" s="21" t="s">
        <v>79</v>
      </c>
      <c r="C880" s="171">
        <v>673</v>
      </c>
      <c r="D880" s="234">
        <v>877</v>
      </c>
      <c r="E880" s="173">
        <v>565</v>
      </c>
      <c r="F880" s="173">
        <v>312</v>
      </c>
      <c r="G880" s="10"/>
    </row>
    <row r="881" spans="1:7" s="43" customFormat="1" ht="22.5" customHeight="1" x14ac:dyDescent="0.15">
      <c r="A881" s="175"/>
      <c r="B881" s="21" t="s">
        <v>80</v>
      </c>
      <c r="C881" s="171">
        <v>365</v>
      </c>
      <c r="D881" s="234">
        <v>901</v>
      </c>
      <c r="E881" s="173">
        <v>447</v>
      </c>
      <c r="F881" s="173">
        <v>454</v>
      </c>
      <c r="G881" s="10"/>
    </row>
    <row r="882" spans="1:7" s="43" customFormat="1" ht="22.5" customHeight="1" x14ac:dyDescent="0.15">
      <c r="A882" s="175"/>
      <c r="B882" s="21" t="s">
        <v>81</v>
      </c>
      <c r="C882" s="171">
        <v>275</v>
      </c>
      <c r="D882" s="234">
        <v>449</v>
      </c>
      <c r="E882" s="173">
        <v>212</v>
      </c>
      <c r="F882" s="173">
        <v>237</v>
      </c>
      <c r="G882" s="10"/>
    </row>
    <row r="883" spans="1:7" s="43" customFormat="1" ht="22.5" customHeight="1" x14ac:dyDescent="0.15">
      <c r="A883" s="175"/>
      <c r="B883" s="21" t="s">
        <v>82</v>
      </c>
      <c r="C883" s="171">
        <v>283</v>
      </c>
      <c r="D883" s="234">
        <v>471</v>
      </c>
      <c r="E883" s="173">
        <v>244</v>
      </c>
      <c r="F883" s="173">
        <v>227</v>
      </c>
      <c r="G883" s="10"/>
    </row>
    <row r="884" spans="1:7" s="43" customFormat="1" ht="22.5" customHeight="1" x14ac:dyDescent="0.15">
      <c r="A884" s="175"/>
      <c r="B884" s="21" t="s">
        <v>83</v>
      </c>
      <c r="C884" s="171">
        <v>268</v>
      </c>
      <c r="D884" s="234">
        <v>372</v>
      </c>
      <c r="E884" s="173">
        <v>146</v>
      </c>
      <c r="F884" s="173">
        <v>226</v>
      </c>
      <c r="G884" s="10"/>
    </row>
    <row r="885" spans="1:7" s="43" customFormat="1" ht="22.5" customHeight="1" x14ac:dyDescent="0.15">
      <c r="A885" s="175"/>
      <c r="B885" s="21" t="s">
        <v>84</v>
      </c>
      <c r="C885" s="171">
        <v>242</v>
      </c>
      <c r="D885" s="234">
        <v>323</v>
      </c>
      <c r="E885" s="173">
        <v>138</v>
      </c>
      <c r="F885" s="173">
        <v>185</v>
      </c>
      <c r="G885" s="10"/>
    </row>
    <row r="886" spans="1:7" s="43" customFormat="1" ht="22.5" customHeight="1" x14ac:dyDescent="0.15">
      <c r="A886" s="175"/>
      <c r="B886" s="21" t="s">
        <v>85</v>
      </c>
      <c r="C886" s="171">
        <v>294</v>
      </c>
      <c r="D886" s="234">
        <v>441</v>
      </c>
      <c r="E886" s="173">
        <v>196</v>
      </c>
      <c r="F886" s="173">
        <v>245</v>
      </c>
      <c r="G886" s="10"/>
    </row>
    <row r="887" spans="1:7" s="43" customFormat="1" ht="22.5" customHeight="1" x14ac:dyDescent="0.15">
      <c r="A887" s="175"/>
      <c r="B887" s="21" t="s">
        <v>87</v>
      </c>
      <c r="C887" s="171">
        <v>291</v>
      </c>
      <c r="D887" s="234">
        <v>439</v>
      </c>
      <c r="E887" s="173">
        <v>213</v>
      </c>
      <c r="F887" s="173">
        <v>226</v>
      </c>
      <c r="G887" s="15"/>
    </row>
    <row r="888" spans="1:7" s="43" customFormat="1" ht="22.5" customHeight="1" x14ac:dyDescent="0.15">
      <c r="A888" s="175"/>
      <c r="B888" s="19" t="s">
        <v>88</v>
      </c>
      <c r="C888" s="171">
        <v>244</v>
      </c>
      <c r="D888" s="234">
        <v>583</v>
      </c>
      <c r="E888" s="173">
        <v>257</v>
      </c>
      <c r="F888" s="173">
        <v>326</v>
      </c>
      <c r="G888" s="10"/>
    </row>
    <row r="889" spans="1:7" s="43" customFormat="1" ht="22.5" customHeight="1" x14ac:dyDescent="0.15">
      <c r="A889" s="175"/>
      <c r="B889" s="21" t="s">
        <v>89</v>
      </c>
      <c r="C889" s="171">
        <v>269</v>
      </c>
      <c r="D889" s="234">
        <v>642</v>
      </c>
      <c r="E889" s="173">
        <v>319</v>
      </c>
      <c r="F889" s="173">
        <v>323</v>
      </c>
      <c r="G889" s="10"/>
    </row>
    <row r="890" spans="1:7" s="43" customFormat="1" ht="22.5" customHeight="1" x14ac:dyDescent="0.15">
      <c r="A890" s="175"/>
      <c r="B890" s="21" t="s">
        <v>90</v>
      </c>
      <c r="C890" s="171">
        <v>540</v>
      </c>
      <c r="D890" s="234">
        <v>639</v>
      </c>
      <c r="E890" s="173">
        <v>444</v>
      </c>
      <c r="F890" s="173">
        <v>195</v>
      </c>
      <c r="G890" s="15"/>
    </row>
    <row r="891" spans="1:7" s="43" customFormat="1" ht="22.5" customHeight="1" x14ac:dyDescent="0.15">
      <c r="A891" s="175"/>
      <c r="B891" s="21" t="s">
        <v>91</v>
      </c>
      <c r="C891" s="171">
        <v>894</v>
      </c>
      <c r="D891" s="234">
        <v>1114</v>
      </c>
      <c r="E891" s="173">
        <v>703</v>
      </c>
      <c r="F891" s="173">
        <v>411</v>
      </c>
      <c r="G891" s="15"/>
    </row>
    <row r="892" spans="1:7" s="43" customFormat="1" ht="22.5" customHeight="1" x14ac:dyDescent="0.15">
      <c r="A892" s="175"/>
      <c r="B892" s="21" t="s">
        <v>92</v>
      </c>
      <c r="C892" s="171">
        <v>1368</v>
      </c>
      <c r="D892" s="234">
        <v>1508</v>
      </c>
      <c r="E892" s="173">
        <v>783</v>
      </c>
      <c r="F892" s="173">
        <v>725</v>
      </c>
      <c r="G892" s="15"/>
    </row>
    <row r="893" spans="1:7" s="43" customFormat="1" ht="22.5" customHeight="1" x14ac:dyDescent="0.15">
      <c r="A893" s="175"/>
      <c r="B893" s="21" t="s">
        <v>93</v>
      </c>
      <c r="C893" s="171">
        <v>685</v>
      </c>
      <c r="D893" s="234">
        <v>864</v>
      </c>
      <c r="E893" s="173">
        <v>567</v>
      </c>
      <c r="F893" s="173">
        <v>297</v>
      </c>
      <c r="G893" s="15"/>
    </row>
    <row r="894" spans="1:7" s="43" customFormat="1" ht="22.5" customHeight="1" x14ac:dyDescent="0.15">
      <c r="A894" s="175"/>
      <c r="B894" s="21" t="s">
        <v>94</v>
      </c>
      <c r="C894" s="171">
        <v>840</v>
      </c>
      <c r="D894" s="234">
        <v>936</v>
      </c>
      <c r="E894" s="173">
        <v>590</v>
      </c>
      <c r="F894" s="173">
        <v>346</v>
      </c>
      <c r="G894" s="15"/>
    </row>
    <row r="895" spans="1:7" s="43" customFormat="1" ht="22.5" customHeight="1" thickBot="1" x14ac:dyDescent="0.2">
      <c r="A895" s="175"/>
      <c r="B895" s="21" t="s">
        <v>95</v>
      </c>
      <c r="C895" s="173">
        <v>1041</v>
      </c>
      <c r="D895" s="234">
        <v>1269</v>
      </c>
      <c r="E895" s="173">
        <v>682</v>
      </c>
      <c r="F895" s="173">
        <v>587</v>
      </c>
      <c r="G895" s="15"/>
    </row>
    <row r="896" spans="1:7" s="43" customFormat="1" ht="22.5" customHeight="1" thickTop="1" x14ac:dyDescent="0.15">
      <c r="A896" s="174" t="s">
        <v>310</v>
      </c>
      <c r="B896" s="7" t="s">
        <v>0</v>
      </c>
      <c r="C896" s="124">
        <f>SUM(C897:C921)</f>
        <v>6139</v>
      </c>
      <c r="D896" s="125">
        <f>SUM(D897:D921)</f>
        <v>12178</v>
      </c>
      <c r="E896" s="124">
        <f>SUM(E897:E921)</f>
        <v>5982</v>
      </c>
      <c r="F896" s="124">
        <f>SUM(F897:F921)</f>
        <v>6196</v>
      </c>
      <c r="G896" s="8"/>
    </row>
    <row r="897" spans="1:7" s="43" customFormat="1" ht="22.5" customHeight="1" x14ac:dyDescent="0.15">
      <c r="A897" s="175"/>
      <c r="B897" s="19" t="s">
        <v>86</v>
      </c>
      <c r="C897" s="172">
        <v>200</v>
      </c>
      <c r="D897" s="240">
        <v>324</v>
      </c>
      <c r="E897" s="172">
        <v>148</v>
      </c>
      <c r="F897" s="172">
        <v>176</v>
      </c>
      <c r="G897" s="112"/>
    </row>
    <row r="898" spans="1:7" s="43" customFormat="1" ht="22.5" customHeight="1" x14ac:dyDescent="0.15">
      <c r="A898" s="175"/>
      <c r="B898" s="19" t="s">
        <v>67</v>
      </c>
      <c r="C898" s="172">
        <v>264</v>
      </c>
      <c r="D898" s="240">
        <v>656</v>
      </c>
      <c r="E898" s="172">
        <v>308</v>
      </c>
      <c r="F898" s="172">
        <v>348</v>
      </c>
      <c r="G898" s="112"/>
    </row>
    <row r="899" spans="1:7" s="43" customFormat="1" ht="22.5" customHeight="1" x14ac:dyDescent="0.15">
      <c r="A899" s="175"/>
      <c r="B899" s="19" t="s">
        <v>68</v>
      </c>
      <c r="C899" s="172">
        <v>287</v>
      </c>
      <c r="D899" s="240">
        <v>734</v>
      </c>
      <c r="E899" s="172">
        <v>347</v>
      </c>
      <c r="F899" s="172">
        <v>387</v>
      </c>
      <c r="G899" s="112"/>
    </row>
    <row r="900" spans="1:7" s="43" customFormat="1" ht="22.5" customHeight="1" x14ac:dyDescent="0.15">
      <c r="A900" s="175"/>
      <c r="B900" s="19" t="s">
        <v>69</v>
      </c>
      <c r="C900" s="172">
        <v>151</v>
      </c>
      <c r="D900" s="240">
        <v>365</v>
      </c>
      <c r="E900" s="172">
        <v>172</v>
      </c>
      <c r="F900" s="172">
        <v>193</v>
      </c>
      <c r="G900" s="112"/>
    </row>
    <row r="901" spans="1:7" s="43" customFormat="1" ht="22.5" customHeight="1" x14ac:dyDescent="0.15">
      <c r="A901" s="175"/>
      <c r="B901" s="19" t="s">
        <v>70</v>
      </c>
      <c r="C901" s="172">
        <v>196</v>
      </c>
      <c r="D901" s="240">
        <v>456</v>
      </c>
      <c r="E901" s="172">
        <v>211</v>
      </c>
      <c r="F901" s="172">
        <v>245</v>
      </c>
      <c r="G901" s="112"/>
    </row>
    <row r="902" spans="1:7" s="43" customFormat="1" ht="22.5" customHeight="1" x14ac:dyDescent="0.15">
      <c r="A902" s="175"/>
      <c r="B902" s="19" t="s">
        <v>71</v>
      </c>
      <c r="C902" s="172">
        <v>238</v>
      </c>
      <c r="D902" s="240">
        <v>611</v>
      </c>
      <c r="E902" s="172">
        <v>298</v>
      </c>
      <c r="F902" s="172">
        <v>313</v>
      </c>
      <c r="G902" s="112"/>
    </row>
    <row r="903" spans="1:7" s="43" customFormat="1" ht="22.5" customHeight="1" x14ac:dyDescent="0.15">
      <c r="A903" s="175"/>
      <c r="B903" s="19" t="s">
        <v>72</v>
      </c>
      <c r="C903" s="172">
        <v>205</v>
      </c>
      <c r="D903" s="240">
        <v>473</v>
      </c>
      <c r="E903" s="172">
        <v>217</v>
      </c>
      <c r="F903" s="172">
        <v>256</v>
      </c>
      <c r="G903" s="112"/>
    </row>
    <row r="904" spans="1:7" s="43" customFormat="1" ht="22.5" customHeight="1" x14ac:dyDescent="0.15">
      <c r="A904" s="175"/>
      <c r="B904" s="19" t="s">
        <v>73</v>
      </c>
      <c r="C904" s="172">
        <v>433</v>
      </c>
      <c r="D904" s="240">
        <v>570</v>
      </c>
      <c r="E904" s="172">
        <v>299</v>
      </c>
      <c r="F904" s="172">
        <v>271</v>
      </c>
      <c r="G904" s="112"/>
    </row>
    <row r="905" spans="1:7" s="43" customFormat="1" ht="22.5" customHeight="1" x14ac:dyDescent="0.15">
      <c r="A905" s="175"/>
      <c r="B905" s="19" t="s">
        <v>74</v>
      </c>
      <c r="C905" s="172">
        <v>310</v>
      </c>
      <c r="D905" s="240">
        <v>401</v>
      </c>
      <c r="E905" s="172">
        <v>238</v>
      </c>
      <c r="F905" s="172">
        <v>163</v>
      </c>
      <c r="G905" s="112"/>
    </row>
    <row r="906" spans="1:7" s="43" customFormat="1" ht="22.5" customHeight="1" x14ac:dyDescent="0.15">
      <c r="A906" s="175"/>
      <c r="B906" s="19" t="s">
        <v>75</v>
      </c>
      <c r="C906" s="172">
        <v>230</v>
      </c>
      <c r="D906" s="240">
        <v>614</v>
      </c>
      <c r="E906" s="172">
        <v>299</v>
      </c>
      <c r="F906" s="172">
        <v>315</v>
      </c>
      <c r="G906" s="112"/>
    </row>
    <row r="907" spans="1:7" s="43" customFormat="1" ht="22.5" customHeight="1" x14ac:dyDescent="0.15">
      <c r="A907" s="175"/>
      <c r="B907" s="21" t="s">
        <v>76</v>
      </c>
      <c r="C907" s="172">
        <v>264</v>
      </c>
      <c r="D907" s="240">
        <v>592</v>
      </c>
      <c r="E907" s="172">
        <v>276</v>
      </c>
      <c r="F907" s="172">
        <v>316</v>
      </c>
      <c r="G907" s="113"/>
    </row>
    <row r="908" spans="1:7" s="43" customFormat="1" ht="22.5" customHeight="1" x14ac:dyDescent="0.15">
      <c r="A908" s="175"/>
      <c r="B908" s="19" t="s">
        <v>77</v>
      </c>
      <c r="C908" s="172">
        <v>224</v>
      </c>
      <c r="D908" s="240">
        <v>549</v>
      </c>
      <c r="E908" s="172">
        <v>260</v>
      </c>
      <c r="F908" s="172">
        <v>289</v>
      </c>
      <c r="G908" s="112"/>
    </row>
    <row r="909" spans="1:7" s="43" customFormat="1" ht="22.5" customHeight="1" x14ac:dyDescent="0.15">
      <c r="A909" s="175"/>
      <c r="B909" s="19" t="s">
        <v>78</v>
      </c>
      <c r="C909" s="172">
        <v>229</v>
      </c>
      <c r="D909" s="240">
        <v>619</v>
      </c>
      <c r="E909" s="172">
        <v>309</v>
      </c>
      <c r="F909" s="172">
        <v>310</v>
      </c>
      <c r="G909" s="112"/>
    </row>
    <row r="910" spans="1:7" s="43" customFormat="1" ht="22.5" customHeight="1" x14ac:dyDescent="0.15">
      <c r="A910" s="175"/>
      <c r="B910" s="19" t="s">
        <v>79</v>
      </c>
      <c r="C910" s="172">
        <v>146</v>
      </c>
      <c r="D910" s="240">
        <v>240</v>
      </c>
      <c r="E910" s="172">
        <v>130</v>
      </c>
      <c r="F910" s="172">
        <v>110</v>
      </c>
      <c r="G910" s="112"/>
    </row>
    <row r="911" spans="1:7" s="43" customFormat="1" ht="22.5" customHeight="1" x14ac:dyDescent="0.15">
      <c r="A911" s="175"/>
      <c r="B911" s="19" t="s">
        <v>80</v>
      </c>
      <c r="C911" s="172">
        <v>164</v>
      </c>
      <c r="D911" s="240">
        <v>403</v>
      </c>
      <c r="E911" s="172">
        <v>217</v>
      </c>
      <c r="F911" s="172">
        <v>186</v>
      </c>
      <c r="G911" s="112"/>
    </row>
    <row r="912" spans="1:7" s="43" customFormat="1" ht="22.5" customHeight="1" x14ac:dyDescent="0.15">
      <c r="A912" s="175"/>
      <c r="B912" s="19" t="s">
        <v>81</v>
      </c>
      <c r="C912" s="172">
        <v>250</v>
      </c>
      <c r="D912" s="240">
        <v>527</v>
      </c>
      <c r="E912" s="172">
        <v>254</v>
      </c>
      <c r="F912" s="172">
        <v>273</v>
      </c>
      <c r="G912" s="112"/>
    </row>
    <row r="913" spans="1:7" s="43" customFormat="1" ht="22.5" customHeight="1" x14ac:dyDescent="0.15">
      <c r="A913" s="175"/>
      <c r="B913" s="19" t="s">
        <v>82</v>
      </c>
      <c r="C913" s="172">
        <v>280</v>
      </c>
      <c r="D913" s="240">
        <v>691</v>
      </c>
      <c r="E913" s="172">
        <v>330</v>
      </c>
      <c r="F913" s="172">
        <v>361</v>
      </c>
      <c r="G913" s="112"/>
    </row>
    <row r="914" spans="1:7" s="43" customFormat="1" ht="22.5" customHeight="1" x14ac:dyDescent="0.15">
      <c r="A914" s="175"/>
      <c r="B914" s="19" t="s">
        <v>83</v>
      </c>
      <c r="C914" s="172">
        <v>276</v>
      </c>
      <c r="D914" s="240">
        <v>518</v>
      </c>
      <c r="E914" s="172">
        <v>223</v>
      </c>
      <c r="F914" s="172">
        <v>295</v>
      </c>
      <c r="G914" s="112"/>
    </row>
    <row r="915" spans="1:7" s="43" customFormat="1" ht="22.5" customHeight="1" x14ac:dyDescent="0.15">
      <c r="A915" s="175"/>
      <c r="B915" s="19" t="s">
        <v>84</v>
      </c>
      <c r="C915" s="172">
        <v>190</v>
      </c>
      <c r="D915" s="240">
        <v>351</v>
      </c>
      <c r="E915" s="172">
        <v>181</v>
      </c>
      <c r="F915" s="172">
        <v>170</v>
      </c>
      <c r="G915" s="112"/>
    </row>
    <row r="916" spans="1:7" s="43" customFormat="1" ht="22.5" customHeight="1" x14ac:dyDescent="0.15">
      <c r="A916" s="175"/>
      <c r="B916" s="19" t="s">
        <v>85</v>
      </c>
      <c r="C916" s="172">
        <v>185</v>
      </c>
      <c r="D916" s="240">
        <v>361</v>
      </c>
      <c r="E916" s="172">
        <v>146</v>
      </c>
      <c r="F916" s="172">
        <v>215</v>
      </c>
      <c r="G916" s="112"/>
    </row>
    <row r="917" spans="1:7" s="43" customFormat="1" ht="22.5" customHeight="1" x14ac:dyDescent="0.15">
      <c r="A917" s="175"/>
      <c r="B917" s="19" t="s">
        <v>87</v>
      </c>
      <c r="C917" s="172">
        <v>196</v>
      </c>
      <c r="D917" s="240">
        <v>457</v>
      </c>
      <c r="E917" s="172">
        <v>227</v>
      </c>
      <c r="F917" s="172">
        <v>230</v>
      </c>
      <c r="G917" s="113"/>
    </row>
    <row r="918" spans="1:7" s="43" customFormat="1" ht="22.5" customHeight="1" x14ac:dyDescent="0.15">
      <c r="A918" s="175"/>
      <c r="B918" s="19" t="s">
        <v>88</v>
      </c>
      <c r="C918" s="172">
        <v>327</v>
      </c>
      <c r="D918" s="240">
        <v>431</v>
      </c>
      <c r="E918" s="172">
        <v>243</v>
      </c>
      <c r="F918" s="172">
        <v>188</v>
      </c>
      <c r="G918" s="113"/>
    </row>
    <row r="919" spans="1:7" s="43" customFormat="1" ht="22.5" customHeight="1" x14ac:dyDescent="0.15">
      <c r="A919" s="175"/>
      <c r="B919" s="19" t="s">
        <v>89</v>
      </c>
      <c r="C919" s="172">
        <v>225</v>
      </c>
      <c r="D919" s="240">
        <v>336</v>
      </c>
      <c r="E919" s="172">
        <v>197</v>
      </c>
      <c r="F919" s="172">
        <v>139</v>
      </c>
      <c r="G919" s="113"/>
    </row>
    <row r="920" spans="1:7" s="43" customFormat="1" ht="22.5" customHeight="1" x14ac:dyDescent="0.15">
      <c r="A920" s="175"/>
      <c r="B920" s="19" t="s">
        <v>90</v>
      </c>
      <c r="C920" s="172">
        <v>511</v>
      </c>
      <c r="D920" s="240">
        <v>623</v>
      </c>
      <c r="E920" s="172">
        <v>301</v>
      </c>
      <c r="F920" s="172">
        <v>322</v>
      </c>
      <c r="G920" s="113"/>
    </row>
    <row r="921" spans="1:7" s="43" customFormat="1" ht="22.5" customHeight="1" thickBot="1" x14ac:dyDescent="0.2">
      <c r="A921" s="199"/>
      <c r="B921" s="19" t="s">
        <v>91</v>
      </c>
      <c r="C921" s="243">
        <v>158</v>
      </c>
      <c r="D921" s="240">
        <v>276</v>
      </c>
      <c r="E921" s="243">
        <v>151</v>
      </c>
      <c r="F921" s="243">
        <v>125</v>
      </c>
      <c r="G921" s="114"/>
    </row>
    <row r="922" spans="1:7" s="43" customFormat="1" ht="22.5" customHeight="1" thickTop="1" x14ac:dyDescent="0.15">
      <c r="A922" s="180" t="s">
        <v>311</v>
      </c>
      <c r="B922" s="7" t="s">
        <v>0</v>
      </c>
      <c r="C922" s="124">
        <f>SUM(C923:C976)</f>
        <v>14880</v>
      </c>
      <c r="D922" s="125">
        <f>SUM(D923:D976)</f>
        <v>33638</v>
      </c>
      <c r="E922" s="124">
        <f>SUM(E923:E976)</f>
        <v>16472</v>
      </c>
      <c r="F922" s="124">
        <f>SUM(F923:F976)</f>
        <v>17166</v>
      </c>
      <c r="G922" s="8"/>
    </row>
    <row r="923" spans="1:7" s="43" customFormat="1" ht="22.5" customHeight="1" x14ac:dyDescent="0.15">
      <c r="A923" s="182"/>
      <c r="B923" s="30" t="s">
        <v>86</v>
      </c>
      <c r="C923" s="172">
        <v>342</v>
      </c>
      <c r="D923" s="245">
        <v>401</v>
      </c>
      <c r="E923" s="172">
        <v>226</v>
      </c>
      <c r="F923" s="172">
        <v>175</v>
      </c>
      <c r="G923" s="115"/>
    </row>
    <row r="924" spans="1:7" s="43" customFormat="1" ht="22.5" customHeight="1" x14ac:dyDescent="0.15">
      <c r="A924" s="182"/>
      <c r="B924" s="30" t="s">
        <v>67</v>
      </c>
      <c r="C924" s="172">
        <v>417</v>
      </c>
      <c r="D924" s="245">
        <v>604</v>
      </c>
      <c r="E924" s="172">
        <v>317</v>
      </c>
      <c r="F924" s="172">
        <v>287</v>
      </c>
      <c r="G924" s="115"/>
    </row>
    <row r="925" spans="1:7" s="43" customFormat="1" ht="22.5" customHeight="1" x14ac:dyDescent="0.15">
      <c r="A925" s="182"/>
      <c r="B925" s="31" t="s">
        <v>68</v>
      </c>
      <c r="C925" s="172">
        <v>325</v>
      </c>
      <c r="D925" s="245">
        <v>531</v>
      </c>
      <c r="E925" s="172">
        <v>288</v>
      </c>
      <c r="F925" s="172">
        <v>243</v>
      </c>
      <c r="G925" s="116"/>
    </row>
    <row r="926" spans="1:7" s="43" customFormat="1" ht="22.5" customHeight="1" x14ac:dyDescent="0.15">
      <c r="A926" s="182"/>
      <c r="B926" s="30" t="s">
        <v>69</v>
      </c>
      <c r="C926" s="172">
        <v>296</v>
      </c>
      <c r="D926" s="245">
        <v>512</v>
      </c>
      <c r="E926" s="172">
        <v>274</v>
      </c>
      <c r="F926" s="172">
        <v>238</v>
      </c>
      <c r="G926" s="115"/>
    </row>
    <row r="927" spans="1:7" s="43" customFormat="1" ht="22.5" customHeight="1" x14ac:dyDescent="0.15">
      <c r="A927" s="182"/>
      <c r="B927" s="30" t="s">
        <v>70</v>
      </c>
      <c r="C927" s="172">
        <v>547</v>
      </c>
      <c r="D927" s="245">
        <v>706</v>
      </c>
      <c r="E927" s="172">
        <v>388</v>
      </c>
      <c r="F927" s="172">
        <v>318</v>
      </c>
      <c r="G927" s="115"/>
    </row>
    <row r="928" spans="1:7" s="43" customFormat="1" ht="22.5" customHeight="1" x14ac:dyDescent="0.15">
      <c r="A928" s="182"/>
      <c r="B928" s="30" t="s">
        <v>71</v>
      </c>
      <c r="C928" s="172">
        <v>312</v>
      </c>
      <c r="D928" s="245">
        <v>447</v>
      </c>
      <c r="E928" s="172">
        <v>262</v>
      </c>
      <c r="F928" s="172">
        <v>185</v>
      </c>
      <c r="G928" s="115"/>
    </row>
    <row r="929" spans="1:7" s="43" customFormat="1" ht="22.5" customHeight="1" x14ac:dyDescent="0.15">
      <c r="A929" s="182"/>
      <c r="B929" s="32" t="s">
        <v>72</v>
      </c>
      <c r="C929" s="172">
        <v>426</v>
      </c>
      <c r="D929" s="245">
        <v>612</v>
      </c>
      <c r="E929" s="172">
        <v>338</v>
      </c>
      <c r="F929" s="172">
        <v>274</v>
      </c>
      <c r="G929" s="117"/>
    </row>
    <row r="930" spans="1:7" s="43" customFormat="1" ht="22.5" customHeight="1" x14ac:dyDescent="0.15">
      <c r="A930" s="182"/>
      <c r="B930" s="30" t="s">
        <v>73</v>
      </c>
      <c r="C930" s="172">
        <v>333</v>
      </c>
      <c r="D930" s="245">
        <v>564</v>
      </c>
      <c r="E930" s="172">
        <v>256</v>
      </c>
      <c r="F930" s="172">
        <v>308</v>
      </c>
      <c r="G930" s="115"/>
    </row>
    <row r="931" spans="1:7" s="43" customFormat="1" ht="22.5" customHeight="1" x14ac:dyDescent="0.15">
      <c r="A931" s="182"/>
      <c r="B931" s="30" t="s">
        <v>74</v>
      </c>
      <c r="C931" s="172">
        <v>154</v>
      </c>
      <c r="D931" s="245">
        <v>279</v>
      </c>
      <c r="E931" s="172">
        <v>117</v>
      </c>
      <c r="F931" s="172">
        <v>162</v>
      </c>
      <c r="G931" s="115"/>
    </row>
    <row r="932" spans="1:7" s="43" customFormat="1" ht="22.5" customHeight="1" x14ac:dyDescent="0.15">
      <c r="A932" s="182"/>
      <c r="B932" s="30" t="s">
        <v>75</v>
      </c>
      <c r="C932" s="172">
        <v>211</v>
      </c>
      <c r="D932" s="245">
        <v>477</v>
      </c>
      <c r="E932" s="172">
        <v>228</v>
      </c>
      <c r="F932" s="172">
        <v>249</v>
      </c>
      <c r="G932" s="115"/>
    </row>
    <row r="933" spans="1:7" s="43" customFormat="1" ht="22.5" customHeight="1" x14ac:dyDescent="0.15">
      <c r="A933" s="182"/>
      <c r="B933" s="30" t="s">
        <v>76</v>
      </c>
      <c r="C933" s="172">
        <v>239</v>
      </c>
      <c r="D933" s="245">
        <v>549</v>
      </c>
      <c r="E933" s="172">
        <v>262</v>
      </c>
      <c r="F933" s="172">
        <v>287</v>
      </c>
      <c r="G933" s="115"/>
    </row>
    <row r="934" spans="1:7" s="43" customFormat="1" ht="22.5" customHeight="1" x14ac:dyDescent="0.15">
      <c r="A934" s="182"/>
      <c r="B934" s="30" t="s">
        <v>77</v>
      </c>
      <c r="C934" s="172">
        <v>210</v>
      </c>
      <c r="D934" s="245">
        <v>595</v>
      </c>
      <c r="E934" s="172">
        <v>294</v>
      </c>
      <c r="F934" s="172">
        <v>301</v>
      </c>
      <c r="G934" s="115"/>
    </row>
    <row r="935" spans="1:7" s="43" customFormat="1" ht="22.5" customHeight="1" x14ac:dyDescent="0.15">
      <c r="A935" s="182"/>
      <c r="B935" s="30" t="s">
        <v>78</v>
      </c>
      <c r="C935" s="172">
        <v>173</v>
      </c>
      <c r="D935" s="245">
        <v>496</v>
      </c>
      <c r="E935" s="172">
        <v>247</v>
      </c>
      <c r="F935" s="172">
        <v>249</v>
      </c>
      <c r="G935" s="115"/>
    </row>
    <row r="936" spans="1:7" s="43" customFormat="1" ht="22.5" customHeight="1" x14ac:dyDescent="0.15">
      <c r="A936" s="182"/>
      <c r="B936" s="30" t="s">
        <v>79</v>
      </c>
      <c r="C936" s="172">
        <v>249</v>
      </c>
      <c r="D936" s="245">
        <v>557</v>
      </c>
      <c r="E936" s="172">
        <v>275</v>
      </c>
      <c r="F936" s="172">
        <v>282</v>
      </c>
      <c r="G936" s="115"/>
    </row>
    <row r="937" spans="1:7" s="43" customFormat="1" ht="22.5" customHeight="1" x14ac:dyDescent="0.15">
      <c r="A937" s="182"/>
      <c r="B937" s="30" t="s">
        <v>80</v>
      </c>
      <c r="C937" s="172">
        <v>252</v>
      </c>
      <c r="D937" s="245">
        <v>657</v>
      </c>
      <c r="E937" s="172">
        <v>326</v>
      </c>
      <c r="F937" s="172">
        <v>331</v>
      </c>
      <c r="G937" s="115"/>
    </row>
    <row r="938" spans="1:7" s="43" customFormat="1" ht="22.5" customHeight="1" x14ac:dyDescent="0.15">
      <c r="A938" s="182"/>
      <c r="B938" s="30" t="s">
        <v>81</v>
      </c>
      <c r="C938" s="172">
        <v>239</v>
      </c>
      <c r="D938" s="245">
        <v>649</v>
      </c>
      <c r="E938" s="172">
        <v>333</v>
      </c>
      <c r="F938" s="172">
        <v>316</v>
      </c>
      <c r="G938" s="115"/>
    </row>
    <row r="939" spans="1:7" s="43" customFormat="1" ht="22.5" customHeight="1" x14ac:dyDescent="0.15">
      <c r="A939" s="182"/>
      <c r="B939" s="30" t="s">
        <v>82</v>
      </c>
      <c r="C939" s="172">
        <v>131</v>
      </c>
      <c r="D939" s="245">
        <v>308</v>
      </c>
      <c r="E939" s="172">
        <v>136</v>
      </c>
      <c r="F939" s="172">
        <v>172</v>
      </c>
      <c r="G939" s="115"/>
    </row>
    <row r="940" spans="1:7" s="43" customFormat="1" ht="22.5" customHeight="1" x14ac:dyDescent="0.15">
      <c r="A940" s="182"/>
      <c r="B940" s="30" t="s">
        <v>83</v>
      </c>
      <c r="C940" s="172">
        <v>229</v>
      </c>
      <c r="D940" s="245">
        <v>548</v>
      </c>
      <c r="E940" s="172">
        <v>267</v>
      </c>
      <c r="F940" s="172">
        <v>281</v>
      </c>
      <c r="G940" s="115"/>
    </row>
    <row r="941" spans="1:7" s="43" customFormat="1" ht="22.5" customHeight="1" x14ac:dyDescent="0.15">
      <c r="A941" s="182"/>
      <c r="B941" s="30" t="s">
        <v>84</v>
      </c>
      <c r="C941" s="172">
        <v>214</v>
      </c>
      <c r="D941" s="245">
        <v>523</v>
      </c>
      <c r="E941" s="172">
        <v>231</v>
      </c>
      <c r="F941" s="172">
        <v>292</v>
      </c>
      <c r="G941" s="115"/>
    </row>
    <row r="942" spans="1:7" s="43" customFormat="1" ht="22.5" customHeight="1" x14ac:dyDescent="0.15">
      <c r="A942" s="182"/>
      <c r="B942" s="30" t="s">
        <v>85</v>
      </c>
      <c r="C942" s="172">
        <v>317</v>
      </c>
      <c r="D942" s="245">
        <v>520</v>
      </c>
      <c r="E942" s="172">
        <v>237</v>
      </c>
      <c r="F942" s="172">
        <v>283</v>
      </c>
      <c r="G942" s="115"/>
    </row>
    <row r="943" spans="1:7" s="43" customFormat="1" ht="22.5" customHeight="1" x14ac:dyDescent="0.15">
      <c r="A943" s="182"/>
      <c r="B943" s="30" t="s">
        <v>87</v>
      </c>
      <c r="C943" s="172">
        <v>364</v>
      </c>
      <c r="D943" s="245">
        <v>619</v>
      </c>
      <c r="E943" s="172">
        <v>295</v>
      </c>
      <c r="F943" s="172">
        <v>324</v>
      </c>
      <c r="G943" s="115"/>
    </row>
    <row r="944" spans="1:7" s="43" customFormat="1" ht="22.5" customHeight="1" x14ac:dyDescent="0.15">
      <c r="A944" s="182"/>
      <c r="B944" s="30" t="s">
        <v>88</v>
      </c>
      <c r="C944" s="172">
        <v>379</v>
      </c>
      <c r="D944" s="245">
        <v>640</v>
      </c>
      <c r="E944" s="172">
        <v>294</v>
      </c>
      <c r="F944" s="172">
        <v>346</v>
      </c>
      <c r="G944" s="115"/>
    </row>
    <row r="945" spans="1:7" s="43" customFormat="1" ht="22.5" customHeight="1" x14ac:dyDescent="0.15">
      <c r="A945" s="182"/>
      <c r="B945" s="30" t="s">
        <v>89</v>
      </c>
      <c r="C945" s="172">
        <v>285</v>
      </c>
      <c r="D945" s="245">
        <v>497</v>
      </c>
      <c r="E945" s="172">
        <v>215</v>
      </c>
      <c r="F945" s="172">
        <v>282</v>
      </c>
      <c r="G945" s="115"/>
    </row>
    <row r="946" spans="1:7" s="43" customFormat="1" ht="22.5" customHeight="1" x14ac:dyDescent="0.15">
      <c r="A946" s="182"/>
      <c r="B946" s="30" t="s">
        <v>90</v>
      </c>
      <c r="C946" s="172">
        <v>167</v>
      </c>
      <c r="D946" s="245">
        <v>503</v>
      </c>
      <c r="E946" s="172">
        <v>237</v>
      </c>
      <c r="F946" s="172">
        <v>266</v>
      </c>
      <c r="G946" s="115"/>
    </row>
    <row r="947" spans="1:7" s="43" customFormat="1" ht="22.5" customHeight="1" x14ac:dyDescent="0.15">
      <c r="A947" s="182"/>
      <c r="B947" s="32" t="s">
        <v>91</v>
      </c>
      <c r="C947" s="172">
        <v>229</v>
      </c>
      <c r="D947" s="245">
        <v>697</v>
      </c>
      <c r="E947" s="172">
        <v>348</v>
      </c>
      <c r="F947" s="172">
        <v>349</v>
      </c>
      <c r="G947" s="117"/>
    </row>
    <row r="948" spans="1:7" s="43" customFormat="1" ht="22.5" customHeight="1" x14ac:dyDescent="0.15">
      <c r="A948" s="182"/>
      <c r="B948" s="30" t="s">
        <v>92</v>
      </c>
      <c r="C948" s="172">
        <v>228</v>
      </c>
      <c r="D948" s="245">
        <v>693</v>
      </c>
      <c r="E948" s="172">
        <v>351</v>
      </c>
      <c r="F948" s="172">
        <v>342</v>
      </c>
      <c r="G948" s="115"/>
    </row>
    <row r="949" spans="1:7" s="43" customFormat="1" ht="22.5" customHeight="1" x14ac:dyDescent="0.15">
      <c r="A949" s="182"/>
      <c r="B949" s="32" t="s">
        <v>93</v>
      </c>
      <c r="C949" s="172">
        <v>171</v>
      </c>
      <c r="D949" s="245">
        <v>533</v>
      </c>
      <c r="E949" s="172">
        <v>270</v>
      </c>
      <c r="F949" s="172">
        <v>263</v>
      </c>
      <c r="G949" s="117"/>
    </row>
    <row r="950" spans="1:7" s="43" customFormat="1" ht="21" customHeight="1" x14ac:dyDescent="0.15">
      <c r="A950" s="182"/>
      <c r="B950" s="30" t="s">
        <v>94</v>
      </c>
      <c r="C950" s="172">
        <v>205</v>
      </c>
      <c r="D950" s="245">
        <v>557</v>
      </c>
      <c r="E950" s="172">
        <v>278</v>
      </c>
      <c r="F950" s="172">
        <v>279</v>
      </c>
      <c r="G950" s="115"/>
    </row>
    <row r="951" spans="1:7" s="43" customFormat="1" ht="21" customHeight="1" x14ac:dyDescent="0.15">
      <c r="A951" s="182"/>
      <c r="B951" s="30" t="s">
        <v>95</v>
      </c>
      <c r="C951" s="172">
        <v>225</v>
      </c>
      <c r="D951" s="245">
        <v>526</v>
      </c>
      <c r="E951" s="172">
        <v>231</v>
      </c>
      <c r="F951" s="172">
        <v>295</v>
      </c>
      <c r="G951" s="115"/>
    </row>
    <row r="952" spans="1:7" s="43" customFormat="1" ht="21" customHeight="1" x14ac:dyDescent="0.15">
      <c r="A952" s="182"/>
      <c r="B952" s="30" t="s">
        <v>96</v>
      </c>
      <c r="C952" s="172">
        <v>141</v>
      </c>
      <c r="D952" s="245">
        <v>331</v>
      </c>
      <c r="E952" s="172">
        <v>166</v>
      </c>
      <c r="F952" s="172">
        <v>165</v>
      </c>
      <c r="G952" s="115"/>
    </row>
    <row r="953" spans="1:7" s="43" customFormat="1" ht="21" customHeight="1" x14ac:dyDescent="0.15">
      <c r="A953" s="182"/>
      <c r="B953" s="30" t="s">
        <v>97</v>
      </c>
      <c r="C953" s="172">
        <v>204</v>
      </c>
      <c r="D953" s="245">
        <v>642</v>
      </c>
      <c r="E953" s="172">
        <v>333</v>
      </c>
      <c r="F953" s="172">
        <v>309</v>
      </c>
      <c r="G953" s="115"/>
    </row>
    <row r="954" spans="1:7" s="43" customFormat="1" ht="21" customHeight="1" x14ac:dyDescent="0.15">
      <c r="A954" s="182"/>
      <c r="B954" s="30" t="s">
        <v>98</v>
      </c>
      <c r="C954" s="172">
        <v>255</v>
      </c>
      <c r="D954" s="245">
        <v>767</v>
      </c>
      <c r="E954" s="172">
        <v>368</v>
      </c>
      <c r="F954" s="172">
        <v>399</v>
      </c>
      <c r="G954" s="115"/>
    </row>
    <row r="955" spans="1:7" s="43" customFormat="1" ht="21" customHeight="1" x14ac:dyDescent="0.15">
      <c r="A955" s="182"/>
      <c r="B955" s="30" t="s">
        <v>99</v>
      </c>
      <c r="C955" s="172">
        <v>287</v>
      </c>
      <c r="D955" s="245">
        <v>804</v>
      </c>
      <c r="E955" s="172">
        <v>399</v>
      </c>
      <c r="F955" s="172">
        <v>405</v>
      </c>
      <c r="G955" s="115"/>
    </row>
    <row r="956" spans="1:7" s="43" customFormat="1" ht="21" customHeight="1" x14ac:dyDescent="0.15">
      <c r="A956" s="182"/>
      <c r="B956" s="30" t="s">
        <v>100</v>
      </c>
      <c r="C956" s="172">
        <v>371</v>
      </c>
      <c r="D956" s="245">
        <v>608</v>
      </c>
      <c r="E956" s="172">
        <v>276</v>
      </c>
      <c r="F956" s="172">
        <v>332</v>
      </c>
      <c r="G956" s="115"/>
    </row>
    <row r="957" spans="1:7" s="43" customFormat="1" ht="21" customHeight="1" x14ac:dyDescent="0.15">
      <c r="A957" s="182"/>
      <c r="B957" s="30" t="s">
        <v>101</v>
      </c>
      <c r="C957" s="172">
        <v>269</v>
      </c>
      <c r="D957" s="245">
        <v>448</v>
      </c>
      <c r="E957" s="172">
        <v>186</v>
      </c>
      <c r="F957" s="172">
        <v>262</v>
      </c>
      <c r="G957" s="115"/>
    </row>
    <row r="958" spans="1:7" s="43" customFormat="1" ht="21" customHeight="1" x14ac:dyDescent="0.15">
      <c r="A958" s="182"/>
      <c r="B958" s="30" t="s">
        <v>102</v>
      </c>
      <c r="C958" s="172">
        <v>271</v>
      </c>
      <c r="D958" s="245">
        <v>452</v>
      </c>
      <c r="E958" s="172">
        <v>195</v>
      </c>
      <c r="F958" s="172">
        <v>257</v>
      </c>
      <c r="G958" s="115"/>
    </row>
    <row r="959" spans="1:7" s="43" customFormat="1" ht="21" customHeight="1" x14ac:dyDescent="0.15">
      <c r="A959" s="182"/>
      <c r="B959" s="30" t="s">
        <v>103</v>
      </c>
      <c r="C959" s="172">
        <v>353</v>
      </c>
      <c r="D959" s="245">
        <v>585</v>
      </c>
      <c r="E959" s="172">
        <v>270</v>
      </c>
      <c r="F959" s="172">
        <v>315</v>
      </c>
      <c r="G959" s="115"/>
    </row>
    <row r="960" spans="1:7" s="43" customFormat="1" ht="21" customHeight="1" x14ac:dyDescent="0.15">
      <c r="A960" s="182"/>
      <c r="B960" s="30" t="s">
        <v>104</v>
      </c>
      <c r="C960" s="172">
        <v>192</v>
      </c>
      <c r="D960" s="245">
        <v>440</v>
      </c>
      <c r="E960" s="172">
        <v>197</v>
      </c>
      <c r="F960" s="172">
        <v>243</v>
      </c>
      <c r="G960" s="115"/>
    </row>
    <row r="961" spans="1:7" s="43" customFormat="1" ht="21" customHeight="1" x14ac:dyDescent="0.15">
      <c r="A961" s="182"/>
      <c r="B961" s="30" t="s">
        <v>105</v>
      </c>
      <c r="C961" s="172">
        <v>205</v>
      </c>
      <c r="D961" s="245">
        <v>452</v>
      </c>
      <c r="E961" s="172">
        <v>206</v>
      </c>
      <c r="F961" s="172">
        <v>246</v>
      </c>
      <c r="G961" s="115"/>
    </row>
    <row r="962" spans="1:7" s="43" customFormat="1" ht="21" customHeight="1" x14ac:dyDescent="0.15">
      <c r="A962" s="182"/>
      <c r="B962" s="30" t="s">
        <v>106</v>
      </c>
      <c r="C962" s="172">
        <v>197</v>
      </c>
      <c r="D962" s="245">
        <v>516</v>
      </c>
      <c r="E962" s="172">
        <v>244</v>
      </c>
      <c r="F962" s="172">
        <v>272</v>
      </c>
      <c r="G962" s="115"/>
    </row>
    <row r="963" spans="1:7" s="43" customFormat="1" ht="21" customHeight="1" x14ac:dyDescent="0.15">
      <c r="A963" s="182"/>
      <c r="B963" s="30" t="s">
        <v>107</v>
      </c>
      <c r="C963" s="172">
        <v>331</v>
      </c>
      <c r="D963" s="245">
        <v>825</v>
      </c>
      <c r="E963" s="172">
        <v>406</v>
      </c>
      <c r="F963" s="172">
        <v>419</v>
      </c>
      <c r="G963" s="115"/>
    </row>
    <row r="964" spans="1:7" s="43" customFormat="1" ht="21" customHeight="1" x14ac:dyDescent="0.15">
      <c r="A964" s="182"/>
      <c r="B964" s="30" t="s">
        <v>108</v>
      </c>
      <c r="C964" s="172">
        <v>248</v>
      </c>
      <c r="D964" s="245">
        <v>649</v>
      </c>
      <c r="E964" s="172">
        <v>314</v>
      </c>
      <c r="F964" s="172">
        <v>335</v>
      </c>
      <c r="G964" s="115"/>
    </row>
    <row r="965" spans="1:7" s="43" customFormat="1" ht="21" customHeight="1" x14ac:dyDescent="0.15">
      <c r="A965" s="182"/>
      <c r="B965" s="32" t="s">
        <v>123</v>
      </c>
      <c r="C965" s="172">
        <v>334</v>
      </c>
      <c r="D965" s="245">
        <v>803</v>
      </c>
      <c r="E965" s="172">
        <v>385</v>
      </c>
      <c r="F965" s="172">
        <v>418</v>
      </c>
      <c r="G965" s="117"/>
    </row>
    <row r="966" spans="1:7" s="43" customFormat="1" ht="22.5" customHeight="1" x14ac:dyDescent="0.15">
      <c r="A966" s="182"/>
      <c r="B966" s="32" t="s">
        <v>109</v>
      </c>
      <c r="C966" s="172">
        <v>408</v>
      </c>
      <c r="D966" s="245">
        <v>1184</v>
      </c>
      <c r="E966" s="172">
        <v>590</v>
      </c>
      <c r="F966" s="172">
        <v>594</v>
      </c>
      <c r="G966" s="117"/>
    </row>
    <row r="967" spans="1:7" s="43" customFormat="1" ht="22.5" customHeight="1" x14ac:dyDescent="0.15">
      <c r="A967" s="182"/>
      <c r="B967" s="32" t="s">
        <v>110</v>
      </c>
      <c r="C967" s="172">
        <v>264</v>
      </c>
      <c r="D967" s="245">
        <v>849</v>
      </c>
      <c r="E967" s="172">
        <v>419</v>
      </c>
      <c r="F967" s="172">
        <v>430</v>
      </c>
      <c r="G967" s="117"/>
    </row>
    <row r="968" spans="1:7" s="43" customFormat="1" ht="22.5" customHeight="1" x14ac:dyDescent="0.15">
      <c r="A968" s="182"/>
      <c r="B968" s="32" t="s">
        <v>111</v>
      </c>
      <c r="C968" s="172">
        <v>350</v>
      </c>
      <c r="D968" s="245">
        <v>970</v>
      </c>
      <c r="E968" s="172">
        <v>474</v>
      </c>
      <c r="F968" s="172">
        <v>496</v>
      </c>
      <c r="G968" s="117"/>
    </row>
    <row r="969" spans="1:7" s="43" customFormat="1" ht="22.5" customHeight="1" x14ac:dyDescent="0.15">
      <c r="A969" s="182"/>
      <c r="B969" s="32" t="s">
        <v>127</v>
      </c>
      <c r="C969" s="172">
        <v>262</v>
      </c>
      <c r="D969" s="245">
        <v>690</v>
      </c>
      <c r="E969" s="172">
        <v>346</v>
      </c>
      <c r="F969" s="172">
        <v>344</v>
      </c>
      <c r="G969" s="117"/>
    </row>
    <row r="970" spans="1:7" s="43" customFormat="1" ht="22.5" customHeight="1" x14ac:dyDescent="0.15">
      <c r="A970" s="182"/>
      <c r="B970" s="32" t="s">
        <v>128</v>
      </c>
      <c r="C970" s="172">
        <v>286</v>
      </c>
      <c r="D970" s="245">
        <v>853</v>
      </c>
      <c r="E970" s="172">
        <v>415</v>
      </c>
      <c r="F970" s="172">
        <v>438</v>
      </c>
      <c r="G970" s="117"/>
    </row>
    <row r="971" spans="1:7" s="81" customFormat="1" ht="22.5" customHeight="1" x14ac:dyDescent="0.15">
      <c r="A971" s="182"/>
      <c r="B971" s="33" t="s">
        <v>112</v>
      </c>
      <c r="C971" s="172">
        <v>284</v>
      </c>
      <c r="D971" s="245">
        <v>763</v>
      </c>
      <c r="E971" s="172">
        <v>374</v>
      </c>
      <c r="F971" s="172">
        <v>389</v>
      </c>
      <c r="G971" s="115"/>
    </row>
    <row r="972" spans="1:7" s="43" customFormat="1" ht="22.5" customHeight="1" x14ac:dyDescent="0.15">
      <c r="A972" s="182"/>
      <c r="B972" s="33" t="s">
        <v>113</v>
      </c>
      <c r="C972" s="172">
        <v>256</v>
      </c>
      <c r="D972" s="245">
        <v>759</v>
      </c>
      <c r="E972" s="172">
        <v>382</v>
      </c>
      <c r="F972" s="172">
        <v>377</v>
      </c>
      <c r="G972" s="115"/>
    </row>
    <row r="973" spans="1:7" s="43" customFormat="1" ht="22.5" customHeight="1" x14ac:dyDescent="0.15">
      <c r="A973" s="182"/>
      <c r="B973" s="33" t="s">
        <v>114</v>
      </c>
      <c r="C973" s="172">
        <v>299</v>
      </c>
      <c r="D973" s="245">
        <v>855</v>
      </c>
      <c r="E973" s="172">
        <v>421</v>
      </c>
      <c r="F973" s="172">
        <v>434</v>
      </c>
      <c r="G973" s="115"/>
    </row>
    <row r="974" spans="1:7" s="43" customFormat="1" ht="21" customHeight="1" x14ac:dyDescent="0.15">
      <c r="A974" s="182"/>
      <c r="B974" s="33" t="s">
        <v>115</v>
      </c>
      <c r="C974" s="172">
        <v>252</v>
      </c>
      <c r="D974" s="245">
        <v>775</v>
      </c>
      <c r="E974" s="172">
        <v>391</v>
      </c>
      <c r="F974" s="172">
        <v>384</v>
      </c>
      <c r="G974" s="115"/>
    </row>
    <row r="975" spans="1:7" s="43" customFormat="1" ht="21" customHeight="1" x14ac:dyDescent="0.15">
      <c r="A975" s="182"/>
      <c r="B975" s="33" t="s">
        <v>116</v>
      </c>
      <c r="C975" s="172">
        <v>259</v>
      </c>
      <c r="D975" s="245">
        <v>764</v>
      </c>
      <c r="E975" s="172">
        <v>384</v>
      </c>
      <c r="F975" s="172">
        <v>380</v>
      </c>
      <c r="G975" s="117"/>
    </row>
    <row r="976" spans="1:7" s="43" customFormat="1" ht="21" customHeight="1" thickBot="1" x14ac:dyDescent="0.2">
      <c r="A976" s="182"/>
      <c r="B976" s="33" t="s">
        <v>117</v>
      </c>
      <c r="C976" s="244">
        <v>433</v>
      </c>
      <c r="D976" s="245">
        <v>1054</v>
      </c>
      <c r="E976" s="244">
        <v>510</v>
      </c>
      <c r="F976" s="244">
        <v>544</v>
      </c>
      <c r="G976" s="117"/>
    </row>
    <row r="977" spans="1:7" s="43" customFormat="1" ht="22.5" customHeight="1" thickTop="1" x14ac:dyDescent="0.15">
      <c r="A977" s="174" t="s">
        <v>312</v>
      </c>
      <c r="B977" s="7" t="s">
        <v>0</v>
      </c>
      <c r="C977" s="124">
        <f>SUM(C978:C1006)</f>
        <v>8085</v>
      </c>
      <c r="D977" s="125">
        <f>SUM(D978:D1006)</f>
        <v>16753</v>
      </c>
      <c r="E977" s="124">
        <f>SUM(E978:E1006)</f>
        <v>8091</v>
      </c>
      <c r="F977" s="124">
        <f>SUM(F978:F1006)</f>
        <v>8662</v>
      </c>
      <c r="G977" s="8"/>
    </row>
    <row r="978" spans="1:7" s="43" customFormat="1" ht="22.5" customHeight="1" x14ac:dyDescent="0.15">
      <c r="A978" s="175"/>
      <c r="B978" s="19" t="s">
        <v>86</v>
      </c>
      <c r="C978" s="162">
        <v>265</v>
      </c>
      <c r="D978" s="249">
        <v>831</v>
      </c>
      <c r="E978" s="162">
        <v>404</v>
      </c>
      <c r="F978" s="162">
        <v>427</v>
      </c>
      <c r="G978" s="10"/>
    </row>
    <row r="979" spans="1:7" s="43" customFormat="1" ht="22.5" customHeight="1" x14ac:dyDescent="0.15">
      <c r="A979" s="175"/>
      <c r="B979" s="19" t="s">
        <v>67</v>
      </c>
      <c r="C979" s="162">
        <v>230</v>
      </c>
      <c r="D979" s="249">
        <v>726</v>
      </c>
      <c r="E979" s="162">
        <v>358</v>
      </c>
      <c r="F979" s="162">
        <v>368</v>
      </c>
      <c r="G979" s="10"/>
    </row>
    <row r="980" spans="1:7" s="43" customFormat="1" ht="22.5" customHeight="1" x14ac:dyDescent="0.15">
      <c r="A980" s="175"/>
      <c r="B980" s="19" t="s">
        <v>68</v>
      </c>
      <c r="C980" s="162">
        <v>258</v>
      </c>
      <c r="D980" s="249">
        <v>408</v>
      </c>
      <c r="E980" s="162">
        <v>228</v>
      </c>
      <c r="F980" s="162">
        <v>180</v>
      </c>
      <c r="G980" s="15"/>
    </row>
    <row r="981" spans="1:7" s="43" customFormat="1" ht="22.5" customHeight="1" x14ac:dyDescent="0.15">
      <c r="A981" s="175"/>
      <c r="B981" s="19" t="s">
        <v>69</v>
      </c>
      <c r="C981" s="162">
        <v>204</v>
      </c>
      <c r="D981" s="249">
        <v>595</v>
      </c>
      <c r="E981" s="162">
        <v>294</v>
      </c>
      <c r="F981" s="162">
        <v>301</v>
      </c>
      <c r="G981" s="15"/>
    </row>
    <row r="982" spans="1:7" s="43" customFormat="1" ht="21" customHeight="1" x14ac:dyDescent="0.15">
      <c r="A982" s="175"/>
      <c r="B982" s="19" t="s">
        <v>70</v>
      </c>
      <c r="C982" s="162">
        <v>326</v>
      </c>
      <c r="D982" s="249">
        <v>979</v>
      </c>
      <c r="E982" s="162">
        <v>492</v>
      </c>
      <c r="F982" s="162">
        <v>487</v>
      </c>
      <c r="G982" s="15"/>
    </row>
    <row r="983" spans="1:7" s="43" customFormat="1" ht="21" customHeight="1" x14ac:dyDescent="0.15">
      <c r="A983" s="175"/>
      <c r="B983" s="19" t="s">
        <v>71</v>
      </c>
      <c r="C983" s="162">
        <v>237</v>
      </c>
      <c r="D983" s="249">
        <v>278</v>
      </c>
      <c r="E983" s="162">
        <v>130</v>
      </c>
      <c r="F983" s="162">
        <v>148</v>
      </c>
      <c r="G983" s="15"/>
    </row>
    <row r="984" spans="1:7" s="43" customFormat="1" ht="21" customHeight="1" x14ac:dyDescent="0.15">
      <c r="A984" s="175"/>
      <c r="B984" s="19" t="s">
        <v>72</v>
      </c>
      <c r="C984" s="162">
        <v>301</v>
      </c>
      <c r="D984" s="249">
        <v>362</v>
      </c>
      <c r="E984" s="162">
        <v>167</v>
      </c>
      <c r="F984" s="162">
        <v>195</v>
      </c>
      <c r="G984" s="15"/>
    </row>
    <row r="985" spans="1:7" s="43" customFormat="1" ht="21" customHeight="1" x14ac:dyDescent="0.15">
      <c r="A985" s="175"/>
      <c r="B985" s="19" t="s">
        <v>73</v>
      </c>
      <c r="C985" s="162">
        <v>306</v>
      </c>
      <c r="D985" s="249">
        <v>363</v>
      </c>
      <c r="E985" s="162">
        <v>176</v>
      </c>
      <c r="F985" s="162">
        <v>187</v>
      </c>
      <c r="G985" s="15"/>
    </row>
    <row r="986" spans="1:7" s="43" customFormat="1" ht="21" customHeight="1" x14ac:dyDescent="0.15">
      <c r="A986" s="175"/>
      <c r="B986" s="19" t="s">
        <v>74</v>
      </c>
      <c r="C986" s="162">
        <v>150</v>
      </c>
      <c r="D986" s="249">
        <v>202</v>
      </c>
      <c r="E986" s="162">
        <v>88</v>
      </c>
      <c r="F986" s="162">
        <v>114</v>
      </c>
      <c r="G986" s="15"/>
    </row>
    <row r="987" spans="1:7" s="43" customFormat="1" ht="21" customHeight="1" x14ac:dyDescent="0.15">
      <c r="A987" s="175"/>
      <c r="B987" s="19" t="s">
        <v>75</v>
      </c>
      <c r="C987" s="162">
        <v>226</v>
      </c>
      <c r="D987" s="249">
        <v>365</v>
      </c>
      <c r="E987" s="162">
        <v>154</v>
      </c>
      <c r="F987" s="162">
        <v>211</v>
      </c>
      <c r="G987" s="15"/>
    </row>
    <row r="988" spans="1:7" s="43" customFormat="1" ht="21" customHeight="1" x14ac:dyDescent="0.15">
      <c r="A988" s="175"/>
      <c r="B988" s="19" t="s">
        <v>76</v>
      </c>
      <c r="C988" s="162">
        <v>336</v>
      </c>
      <c r="D988" s="249">
        <v>507</v>
      </c>
      <c r="E988" s="162">
        <v>212</v>
      </c>
      <c r="F988" s="162">
        <v>295</v>
      </c>
      <c r="G988" s="15"/>
    </row>
    <row r="989" spans="1:7" s="43" customFormat="1" ht="21" customHeight="1" x14ac:dyDescent="0.15">
      <c r="A989" s="175"/>
      <c r="B989" s="19" t="s">
        <v>77</v>
      </c>
      <c r="C989" s="162">
        <v>316</v>
      </c>
      <c r="D989" s="249">
        <v>648</v>
      </c>
      <c r="E989" s="162">
        <v>287</v>
      </c>
      <c r="F989" s="162">
        <v>361</v>
      </c>
      <c r="G989" s="15"/>
    </row>
    <row r="990" spans="1:7" s="43" customFormat="1" ht="21" customHeight="1" x14ac:dyDescent="0.15">
      <c r="A990" s="175"/>
      <c r="B990" s="19" t="s">
        <v>78</v>
      </c>
      <c r="C990" s="162">
        <v>355</v>
      </c>
      <c r="D990" s="249">
        <v>789</v>
      </c>
      <c r="E990" s="162">
        <v>358</v>
      </c>
      <c r="F990" s="162">
        <v>431</v>
      </c>
      <c r="G990" s="15"/>
    </row>
    <row r="991" spans="1:7" s="43" customFormat="1" ht="21" customHeight="1" x14ac:dyDescent="0.15">
      <c r="A991" s="175"/>
      <c r="B991" s="19" t="s">
        <v>79</v>
      </c>
      <c r="C991" s="162">
        <v>256</v>
      </c>
      <c r="D991" s="249">
        <v>503</v>
      </c>
      <c r="E991" s="162">
        <v>226</v>
      </c>
      <c r="F991" s="162">
        <v>277</v>
      </c>
      <c r="G991" s="15"/>
    </row>
    <row r="992" spans="1:7" s="43" customFormat="1" ht="21" customHeight="1" x14ac:dyDescent="0.15">
      <c r="A992" s="175"/>
      <c r="B992" s="19" t="s">
        <v>80</v>
      </c>
      <c r="C992" s="162">
        <v>367</v>
      </c>
      <c r="D992" s="249">
        <v>644</v>
      </c>
      <c r="E992" s="162">
        <v>289</v>
      </c>
      <c r="F992" s="162">
        <v>355</v>
      </c>
      <c r="G992" s="15"/>
    </row>
    <row r="993" spans="1:7" s="43" customFormat="1" ht="21" customHeight="1" x14ac:dyDescent="0.15">
      <c r="A993" s="175"/>
      <c r="B993" s="21" t="s">
        <v>81</v>
      </c>
      <c r="C993" s="162">
        <v>312</v>
      </c>
      <c r="D993" s="249">
        <v>506</v>
      </c>
      <c r="E993" s="162">
        <v>246</v>
      </c>
      <c r="F993" s="162">
        <v>260</v>
      </c>
      <c r="G993" s="15"/>
    </row>
    <row r="994" spans="1:7" s="43" customFormat="1" ht="21" customHeight="1" x14ac:dyDescent="0.15">
      <c r="A994" s="175"/>
      <c r="B994" s="19" t="s">
        <v>82</v>
      </c>
      <c r="C994" s="162">
        <v>354</v>
      </c>
      <c r="D994" s="249">
        <v>741</v>
      </c>
      <c r="E994" s="162">
        <v>362</v>
      </c>
      <c r="F994" s="162">
        <v>379</v>
      </c>
      <c r="G994" s="10"/>
    </row>
    <row r="995" spans="1:7" s="43" customFormat="1" ht="21" customHeight="1" x14ac:dyDescent="0.15">
      <c r="A995" s="175"/>
      <c r="B995" s="19" t="s">
        <v>83</v>
      </c>
      <c r="C995" s="162">
        <v>283</v>
      </c>
      <c r="D995" s="249">
        <v>389</v>
      </c>
      <c r="E995" s="162">
        <v>186</v>
      </c>
      <c r="F995" s="162">
        <v>203</v>
      </c>
      <c r="G995" s="15"/>
    </row>
    <row r="996" spans="1:7" s="43" customFormat="1" ht="21" customHeight="1" x14ac:dyDescent="0.15">
      <c r="A996" s="175"/>
      <c r="B996" s="19" t="s">
        <v>84</v>
      </c>
      <c r="C996" s="162">
        <v>251</v>
      </c>
      <c r="D996" s="249">
        <v>353</v>
      </c>
      <c r="E996" s="162">
        <v>171</v>
      </c>
      <c r="F996" s="162">
        <v>182</v>
      </c>
      <c r="G996" s="10"/>
    </row>
    <row r="997" spans="1:7" s="43" customFormat="1" ht="21" customHeight="1" x14ac:dyDescent="0.15">
      <c r="A997" s="175"/>
      <c r="B997" s="19" t="s">
        <v>85</v>
      </c>
      <c r="C997" s="162">
        <v>229</v>
      </c>
      <c r="D997" s="249">
        <v>620</v>
      </c>
      <c r="E997" s="162">
        <v>297</v>
      </c>
      <c r="F997" s="162">
        <v>323</v>
      </c>
      <c r="G997" s="10"/>
    </row>
    <row r="998" spans="1:7" s="43" customFormat="1" ht="21" customHeight="1" x14ac:dyDescent="0.15">
      <c r="A998" s="175"/>
      <c r="B998" s="19" t="s">
        <v>87</v>
      </c>
      <c r="C998" s="162">
        <v>294</v>
      </c>
      <c r="D998" s="249">
        <v>801</v>
      </c>
      <c r="E998" s="162">
        <v>395</v>
      </c>
      <c r="F998" s="162">
        <v>406</v>
      </c>
      <c r="G998" s="15"/>
    </row>
    <row r="999" spans="1:7" s="43" customFormat="1" ht="21" customHeight="1" x14ac:dyDescent="0.15">
      <c r="A999" s="175"/>
      <c r="B999" s="19" t="s">
        <v>88</v>
      </c>
      <c r="C999" s="162">
        <v>275</v>
      </c>
      <c r="D999" s="249">
        <v>634</v>
      </c>
      <c r="E999" s="162">
        <v>293</v>
      </c>
      <c r="F999" s="162">
        <v>341</v>
      </c>
      <c r="G999" s="15"/>
    </row>
    <row r="1000" spans="1:7" s="43" customFormat="1" ht="21" customHeight="1" x14ac:dyDescent="0.15">
      <c r="A1000" s="175"/>
      <c r="B1000" s="19" t="s">
        <v>89</v>
      </c>
      <c r="C1000" s="162">
        <v>291</v>
      </c>
      <c r="D1000" s="249">
        <v>683</v>
      </c>
      <c r="E1000" s="162">
        <v>351</v>
      </c>
      <c r="F1000" s="162">
        <v>332</v>
      </c>
      <c r="G1000" s="15"/>
    </row>
    <row r="1001" spans="1:7" s="43" customFormat="1" ht="21" customHeight="1" x14ac:dyDescent="0.15">
      <c r="A1001" s="175"/>
      <c r="B1001" s="19" t="s">
        <v>90</v>
      </c>
      <c r="C1001" s="162">
        <v>305</v>
      </c>
      <c r="D1001" s="249">
        <v>474</v>
      </c>
      <c r="E1001" s="162">
        <v>222</v>
      </c>
      <c r="F1001" s="162">
        <v>252</v>
      </c>
      <c r="G1001" s="15"/>
    </row>
    <row r="1002" spans="1:7" s="43" customFormat="1" ht="21" customHeight="1" x14ac:dyDescent="0.15">
      <c r="A1002" s="175"/>
      <c r="B1002" s="19" t="s">
        <v>91</v>
      </c>
      <c r="C1002" s="162">
        <v>199</v>
      </c>
      <c r="D1002" s="249">
        <v>311</v>
      </c>
      <c r="E1002" s="162">
        <v>178</v>
      </c>
      <c r="F1002" s="162">
        <v>133</v>
      </c>
      <c r="G1002" s="15"/>
    </row>
    <row r="1003" spans="1:7" s="43" customFormat="1" ht="21" customHeight="1" x14ac:dyDescent="0.15">
      <c r="A1003" s="175"/>
      <c r="B1003" s="19" t="s">
        <v>92</v>
      </c>
      <c r="C1003" s="162">
        <v>297</v>
      </c>
      <c r="D1003" s="249">
        <v>813</v>
      </c>
      <c r="E1003" s="162">
        <v>416</v>
      </c>
      <c r="F1003" s="162">
        <v>397</v>
      </c>
      <c r="G1003" s="15"/>
    </row>
    <row r="1004" spans="1:7" s="43" customFormat="1" ht="21" customHeight="1" x14ac:dyDescent="0.15">
      <c r="A1004" s="175"/>
      <c r="B1004" s="19" t="s">
        <v>93</v>
      </c>
      <c r="C1004" s="162">
        <v>347</v>
      </c>
      <c r="D1004" s="249">
        <v>996</v>
      </c>
      <c r="E1004" s="162">
        <v>503</v>
      </c>
      <c r="F1004" s="162">
        <v>493</v>
      </c>
      <c r="G1004" s="15"/>
    </row>
    <row r="1005" spans="1:7" s="43" customFormat="1" ht="21" customHeight="1" x14ac:dyDescent="0.15">
      <c r="A1005" s="175"/>
      <c r="B1005" s="19" t="s">
        <v>94</v>
      </c>
      <c r="C1005" s="162">
        <v>315</v>
      </c>
      <c r="D1005" s="249">
        <v>891</v>
      </c>
      <c r="E1005" s="162">
        <v>423</v>
      </c>
      <c r="F1005" s="162">
        <v>468</v>
      </c>
      <c r="G1005" s="10"/>
    </row>
    <row r="1006" spans="1:7" s="43" customFormat="1" ht="21" customHeight="1" thickBot="1" x14ac:dyDescent="0.2">
      <c r="A1006" s="83"/>
      <c r="B1006" s="34" t="s">
        <v>95</v>
      </c>
      <c r="C1006" s="162">
        <v>200</v>
      </c>
      <c r="D1006" s="249">
        <v>341</v>
      </c>
      <c r="E1006" s="162">
        <v>185</v>
      </c>
      <c r="F1006" s="162">
        <v>156</v>
      </c>
      <c r="G1006" s="35"/>
    </row>
    <row r="1007" spans="1:7" s="81" customFormat="1" ht="22.5" customHeight="1" thickTop="1" x14ac:dyDescent="0.15">
      <c r="A1007" s="180" t="s">
        <v>313</v>
      </c>
      <c r="B1007" s="7" t="s">
        <v>0</v>
      </c>
      <c r="C1007" s="136">
        <f>SUM(C1008:C1052)</f>
        <v>15412</v>
      </c>
      <c r="D1007" s="137">
        <f>SUM(D1008:D1052)</f>
        <v>40263</v>
      </c>
      <c r="E1007" s="136">
        <f>SUM(E1008:E1052)</f>
        <v>20267</v>
      </c>
      <c r="F1007" s="136">
        <f>SUM(F1008:F1052)</f>
        <v>19996</v>
      </c>
      <c r="G1007" s="8"/>
    </row>
    <row r="1008" spans="1:7" s="43" customFormat="1" ht="22.5" customHeight="1" x14ac:dyDescent="0.15">
      <c r="A1008" s="181"/>
      <c r="B1008" s="20" t="s">
        <v>86</v>
      </c>
      <c r="C1008" s="172">
        <v>365</v>
      </c>
      <c r="D1008" s="249">
        <v>511</v>
      </c>
      <c r="E1008" s="172">
        <v>310</v>
      </c>
      <c r="F1008" s="172">
        <v>201</v>
      </c>
      <c r="G1008" s="23"/>
    </row>
    <row r="1009" spans="1:7" s="43" customFormat="1" ht="22.5" customHeight="1" x14ac:dyDescent="0.15">
      <c r="A1009" s="181"/>
      <c r="B1009" s="19" t="s">
        <v>67</v>
      </c>
      <c r="C1009" s="172">
        <v>232</v>
      </c>
      <c r="D1009" s="249">
        <v>317</v>
      </c>
      <c r="E1009" s="172">
        <v>205</v>
      </c>
      <c r="F1009" s="172">
        <v>112</v>
      </c>
      <c r="G1009" s="15"/>
    </row>
    <row r="1010" spans="1:7" s="43" customFormat="1" ht="22.5" customHeight="1" x14ac:dyDescent="0.15">
      <c r="A1010" s="181"/>
      <c r="B1010" s="19" t="s">
        <v>68</v>
      </c>
      <c r="C1010" s="172">
        <v>746</v>
      </c>
      <c r="D1010" s="249">
        <v>936</v>
      </c>
      <c r="E1010" s="172">
        <v>576</v>
      </c>
      <c r="F1010" s="172">
        <v>360</v>
      </c>
      <c r="G1010" s="15"/>
    </row>
    <row r="1011" spans="1:7" s="43" customFormat="1" ht="22.5" customHeight="1" x14ac:dyDescent="0.15">
      <c r="A1011" s="181"/>
      <c r="B1011" s="19" t="s">
        <v>69</v>
      </c>
      <c r="C1011" s="172">
        <v>243</v>
      </c>
      <c r="D1011" s="249">
        <v>588</v>
      </c>
      <c r="E1011" s="172">
        <v>304</v>
      </c>
      <c r="F1011" s="172">
        <v>284</v>
      </c>
      <c r="G1011" s="15"/>
    </row>
    <row r="1012" spans="1:7" s="43" customFormat="1" ht="22.5" customHeight="1" x14ac:dyDescent="0.15">
      <c r="A1012" s="181"/>
      <c r="B1012" s="19" t="s">
        <v>70</v>
      </c>
      <c r="C1012" s="172">
        <v>266</v>
      </c>
      <c r="D1012" s="249">
        <v>665</v>
      </c>
      <c r="E1012" s="172">
        <v>320</v>
      </c>
      <c r="F1012" s="172">
        <v>345</v>
      </c>
      <c r="G1012" s="15"/>
    </row>
    <row r="1013" spans="1:7" s="43" customFormat="1" ht="22.5" customHeight="1" x14ac:dyDescent="0.15">
      <c r="A1013" s="181"/>
      <c r="B1013" s="19" t="s">
        <v>71</v>
      </c>
      <c r="C1013" s="172">
        <v>231</v>
      </c>
      <c r="D1013" s="249">
        <v>658</v>
      </c>
      <c r="E1013" s="172">
        <v>324</v>
      </c>
      <c r="F1013" s="172">
        <v>334</v>
      </c>
      <c r="G1013" s="15"/>
    </row>
    <row r="1014" spans="1:7" s="43" customFormat="1" ht="22.5" customHeight="1" x14ac:dyDescent="0.15">
      <c r="A1014" s="181"/>
      <c r="B1014" s="19" t="s">
        <v>72</v>
      </c>
      <c r="C1014" s="172">
        <v>222</v>
      </c>
      <c r="D1014" s="249">
        <v>558</v>
      </c>
      <c r="E1014" s="172">
        <v>272</v>
      </c>
      <c r="F1014" s="172">
        <v>286</v>
      </c>
      <c r="G1014" s="15"/>
    </row>
    <row r="1015" spans="1:7" s="43" customFormat="1" ht="22.5" customHeight="1" x14ac:dyDescent="0.15">
      <c r="A1015" s="181"/>
      <c r="B1015" s="19" t="s">
        <v>73</v>
      </c>
      <c r="C1015" s="172">
        <v>265</v>
      </c>
      <c r="D1015" s="249">
        <v>696</v>
      </c>
      <c r="E1015" s="172">
        <v>353</v>
      </c>
      <c r="F1015" s="172">
        <v>343</v>
      </c>
      <c r="G1015" s="15"/>
    </row>
    <row r="1016" spans="1:7" s="43" customFormat="1" ht="22.5" customHeight="1" x14ac:dyDescent="0.15">
      <c r="A1016" s="181"/>
      <c r="B1016" s="19" t="s">
        <v>74</v>
      </c>
      <c r="C1016" s="172">
        <v>230</v>
      </c>
      <c r="D1016" s="249">
        <v>611</v>
      </c>
      <c r="E1016" s="172">
        <v>290</v>
      </c>
      <c r="F1016" s="172">
        <v>321</v>
      </c>
      <c r="G1016" s="15"/>
    </row>
    <row r="1017" spans="1:7" s="43" customFormat="1" ht="22.5" customHeight="1" x14ac:dyDescent="0.15">
      <c r="A1017" s="181"/>
      <c r="B1017" s="19" t="s">
        <v>75</v>
      </c>
      <c r="C1017" s="172">
        <v>349</v>
      </c>
      <c r="D1017" s="249">
        <v>978</v>
      </c>
      <c r="E1017" s="172">
        <v>470</v>
      </c>
      <c r="F1017" s="172">
        <v>508</v>
      </c>
      <c r="G1017" s="15"/>
    </row>
    <row r="1018" spans="1:7" s="43" customFormat="1" ht="22.5" customHeight="1" x14ac:dyDescent="0.15">
      <c r="A1018" s="181"/>
      <c r="B1018" s="21" t="s">
        <v>76</v>
      </c>
      <c r="C1018" s="172">
        <v>393</v>
      </c>
      <c r="D1018" s="249">
        <v>1139</v>
      </c>
      <c r="E1018" s="172">
        <v>557</v>
      </c>
      <c r="F1018" s="172">
        <v>582</v>
      </c>
      <c r="G1018" s="15"/>
    </row>
    <row r="1019" spans="1:7" s="43" customFormat="1" ht="22.5" customHeight="1" x14ac:dyDescent="0.15">
      <c r="A1019" s="181"/>
      <c r="B1019" s="19" t="s">
        <v>77</v>
      </c>
      <c r="C1019" s="172">
        <v>247</v>
      </c>
      <c r="D1019" s="249">
        <v>500</v>
      </c>
      <c r="E1019" s="172">
        <v>230</v>
      </c>
      <c r="F1019" s="172">
        <v>270</v>
      </c>
      <c r="G1019" s="10"/>
    </row>
    <row r="1020" spans="1:7" s="43" customFormat="1" ht="22.5" customHeight="1" x14ac:dyDescent="0.15">
      <c r="A1020" s="181"/>
      <c r="B1020" s="19" t="s">
        <v>78</v>
      </c>
      <c r="C1020" s="172">
        <v>346</v>
      </c>
      <c r="D1020" s="249">
        <v>685</v>
      </c>
      <c r="E1020" s="172">
        <v>298</v>
      </c>
      <c r="F1020" s="172">
        <v>387</v>
      </c>
      <c r="G1020" s="15"/>
    </row>
    <row r="1021" spans="1:7" s="43" customFormat="1" ht="22.5" customHeight="1" x14ac:dyDescent="0.15">
      <c r="A1021" s="181"/>
      <c r="B1021" s="19" t="s">
        <v>79</v>
      </c>
      <c r="C1021" s="172">
        <v>313</v>
      </c>
      <c r="D1021" s="249">
        <v>698</v>
      </c>
      <c r="E1021" s="172">
        <v>308</v>
      </c>
      <c r="F1021" s="172">
        <v>390</v>
      </c>
      <c r="G1021" s="15"/>
    </row>
    <row r="1022" spans="1:7" s="43" customFormat="1" ht="22.5" customHeight="1" x14ac:dyDescent="0.15">
      <c r="A1022" s="181"/>
      <c r="B1022" s="19" t="s">
        <v>80</v>
      </c>
      <c r="C1022" s="172">
        <v>235</v>
      </c>
      <c r="D1022" s="249">
        <v>526</v>
      </c>
      <c r="E1022" s="172">
        <v>241</v>
      </c>
      <c r="F1022" s="172">
        <v>285</v>
      </c>
      <c r="G1022" s="15"/>
    </row>
    <row r="1023" spans="1:7" s="43" customFormat="1" ht="22.5" customHeight="1" x14ac:dyDescent="0.15">
      <c r="A1023" s="181"/>
      <c r="B1023" s="19" t="s">
        <v>81</v>
      </c>
      <c r="C1023" s="172">
        <v>262</v>
      </c>
      <c r="D1023" s="249">
        <v>771</v>
      </c>
      <c r="E1023" s="172">
        <v>375</v>
      </c>
      <c r="F1023" s="172">
        <v>396</v>
      </c>
      <c r="G1023" s="15"/>
    </row>
    <row r="1024" spans="1:7" s="43" customFormat="1" ht="22.5" customHeight="1" x14ac:dyDescent="0.15">
      <c r="A1024" s="181"/>
      <c r="B1024" s="19" t="s">
        <v>82</v>
      </c>
      <c r="C1024" s="172">
        <v>272</v>
      </c>
      <c r="D1024" s="249">
        <v>805</v>
      </c>
      <c r="E1024" s="172">
        <v>400</v>
      </c>
      <c r="F1024" s="172">
        <v>405</v>
      </c>
      <c r="G1024" s="15"/>
    </row>
    <row r="1025" spans="1:7" s="43" customFormat="1" ht="22.5" customHeight="1" x14ac:dyDescent="0.15">
      <c r="A1025" s="181"/>
      <c r="B1025" s="19" t="s">
        <v>83</v>
      </c>
      <c r="C1025" s="172">
        <v>395</v>
      </c>
      <c r="D1025" s="249">
        <v>1214</v>
      </c>
      <c r="E1025" s="172">
        <v>607</v>
      </c>
      <c r="F1025" s="172">
        <v>607</v>
      </c>
      <c r="G1025" s="10"/>
    </row>
    <row r="1026" spans="1:7" s="43" customFormat="1" ht="22.5" customHeight="1" x14ac:dyDescent="0.15">
      <c r="A1026" s="181"/>
      <c r="B1026" s="19" t="s">
        <v>84</v>
      </c>
      <c r="C1026" s="172">
        <v>371</v>
      </c>
      <c r="D1026" s="249">
        <v>1067</v>
      </c>
      <c r="E1026" s="172">
        <v>546</v>
      </c>
      <c r="F1026" s="172">
        <v>521</v>
      </c>
      <c r="G1026" s="10"/>
    </row>
    <row r="1027" spans="1:7" s="43" customFormat="1" ht="22.5" customHeight="1" x14ac:dyDescent="0.15">
      <c r="A1027" s="181"/>
      <c r="B1027" s="19" t="s">
        <v>85</v>
      </c>
      <c r="C1027" s="172">
        <v>286</v>
      </c>
      <c r="D1027" s="249">
        <v>830</v>
      </c>
      <c r="E1027" s="172">
        <v>425</v>
      </c>
      <c r="F1027" s="172">
        <v>405</v>
      </c>
      <c r="G1027" s="10"/>
    </row>
    <row r="1028" spans="1:7" s="43" customFormat="1" ht="22.5" customHeight="1" x14ac:dyDescent="0.15">
      <c r="A1028" s="181"/>
      <c r="B1028" s="19" t="s">
        <v>87</v>
      </c>
      <c r="C1028" s="172">
        <v>292</v>
      </c>
      <c r="D1028" s="249">
        <v>883</v>
      </c>
      <c r="E1028" s="172">
        <v>442</v>
      </c>
      <c r="F1028" s="172">
        <v>441</v>
      </c>
      <c r="G1028" s="10"/>
    </row>
    <row r="1029" spans="1:7" s="43" customFormat="1" ht="22.5" customHeight="1" x14ac:dyDescent="0.15">
      <c r="A1029" s="181"/>
      <c r="B1029" s="19" t="s">
        <v>88</v>
      </c>
      <c r="C1029" s="172">
        <v>243</v>
      </c>
      <c r="D1029" s="249">
        <v>700</v>
      </c>
      <c r="E1029" s="172">
        <v>338</v>
      </c>
      <c r="F1029" s="172">
        <v>362</v>
      </c>
      <c r="G1029" s="10"/>
    </row>
    <row r="1030" spans="1:7" s="43" customFormat="1" ht="22.5" customHeight="1" x14ac:dyDescent="0.15">
      <c r="A1030" s="181"/>
      <c r="B1030" s="19" t="s">
        <v>89</v>
      </c>
      <c r="C1030" s="172">
        <v>343</v>
      </c>
      <c r="D1030" s="249">
        <v>957</v>
      </c>
      <c r="E1030" s="172">
        <v>489</v>
      </c>
      <c r="F1030" s="172">
        <v>468</v>
      </c>
      <c r="G1030" s="15"/>
    </row>
    <row r="1031" spans="1:7" s="43" customFormat="1" ht="22.5" customHeight="1" x14ac:dyDescent="0.15">
      <c r="A1031" s="181"/>
      <c r="B1031" s="21" t="s">
        <v>90</v>
      </c>
      <c r="C1031" s="172">
        <v>359</v>
      </c>
      <c r="D1031" s="249">
        <v>1083</v>
      </c>
      <c r="E1031" s="172">
        <v>534</v>
      </c>
      <c r="F1031" s="172">
        <v>549</v>
      </c>
      <c r="G1031" s="15"/>
    </row>
    <row r="1032" spans="1:7" s="43" customFormat="1" ht="22.5" customHeight="1" x14ac:dyDescent="0.15">
      <c r="A1032" s="200"/>
      <c r="B1032" s="19" t="s">
        <v>91</v>
      </c>
      <c r="C1032" s="172">
        <v>353</v>
      </c>
      <c r="D1032" s="249">
        <v>1083</v>
      </c>
      <c r="E1032" s="172">
        <v>540</v>
      </c>
      <c r="F1032" s="172">
        <v>543</v>
      </c>
      <c r="G1032" s="10"/>
    </row>
    <row r="1033" spans="1:7" s="43" customFormat="1" ht="22.5" customHeight="1" x14ac:dyDescent="0.15">
      <c r="A1033" s="200"/>
      <c r="B1033" s="19" t="s">
        <v>92</v>
      </c>
      <c r="C1033" s="172">
        <v>297</v>
      </c>
      <c r="D1033" s="249">
        <v>838</v>
      </c>
      <c r="E1033" s="172">
        <v>411</v>
      </c>
      <c r="F1033" s="172">
        <v>427</v>
      </c>
      <c r="G1033" s="15"/>
    </row>
    <row r="1034" spans="1:7" s="43" customFormat="1" ht="22.5" customHeight="1" x14ac:dyDescent="0.15">
      <c r="A1034" s="200"/>
      <c r="B1034" s="19" t="s">
        <v>93</v>
      </c>
      <c r="C1034" s="172">
        <v>389</v>
      </c>
      <c r="D1034" s="249">
        <v>1273</v>
      </c>
      <c r="E1034" s="172">
        <v>620</v>
      </c>
      <c r="F1034" s="172">
        <v>653</v>
      </c>
      <c r="G1034" s="15"/>
    </row>
    <row r="1035" spans="1:7" s="43" customFormat="1" ht="22.5" customHeight="1" x14ac:dyDescent="0.15">
      <c r="A1035" s="200"/>
      <c r="B1035" s="19" t="s">
        <v>94</v>
      </c>
      <c r="C1035" s="172">
        <v>342</v>
      </c>
      <c r="D1035" s="249">
        <v>1088</v>
      </c>
      <c r="E1035" s="172">
        <v>523</v>
      </c>
      <c r="F1035" s="172">
        <v>565</v>
      </c>
      <c r="G1035" s="15"/>
    </row>
    <row r="1036" spans="1:7" s="43" customFormat="1" ht="22.5" customHeight="1" x14ac:dyDescent="0.15">
      <c r="A1036" s="200"/>
      <c r="B1036" s="19" t="s">
        <v>95</v>
      </c>
      <c r="C1036" s="172">
        <v>424</v>
      </c>
      <c r="D1036" s="249">
        <v>1293</v>
      </c>
      <c r="E1036" s="172">
        <v>628</v>
      </c>
      <c r="F1036" s="172">
        <v>665</v>
      </c>
      <c r="G1036" s="15"/>
    </row>
    <row r="1037" spans="1:7" s="43" customFormat="1" ht="22.5" customHeight="1" x14ac:dyDescent="0.15">
      <c r="A1037" s="200"/>
      <c r="B1037" s="19" t="s">
        <v>96</v>
      </c>
      <c r="C1037" s="172">
        <v>469</v>
      </c>
      <c r="D1037" s="249">
        <v>1470</v>
      </c>
      <c r="E1037" s="172">
        <v>737</v>
      </c>
      <c r="F1037" s="172">
        <v>733</v>
      </c>
      <c r="G1037" s="15"/>
    </row>
    <row r="1038" spans="1:7" s="43" customFormat="1" ht="22.5" customHeight="1" x14ac:dyDescent="0.15">
      <c r="A1038" s="200"/>
      <c r="B1038" s="19" t="s">
        <v>97</v>
      </c>
      <c r="C1038" s="172">
        <v>131</v>
      </c>
      <c r="D1038" s="249">
        <v>341</v>
      </c>
      <c r="E1038" s="172">
        <v>176</v>
      </c>
      <c r="F1038" s="172">
        <v>165</v>
      </c>
      <c r="G1038" s="15"/>
    </row>
    <row r="1039" spans="1:7" s="43" customFormat="1" ht="22.5" customHeight="1" x14ac:dyDescent="0.15">
      <c r="A1039" s="200"/>
      <c r="B1039" s="19" t="s">
        <v>98</v>
      </c>
      <c r="C1039" s="172">
        <v>403</v>
      </c>
      <c r="D1039" s="249">
        <v>1315</v>
      </c>
      <c r="E1039" s="172">
        <v>642</v>
      </c>
      <c r="F1039" s="172">
        <v>673</v>
      </c>
      <c r="G1039" s="15"/>
    </row>
    <row r="1040" spans="1:7" s="43" customFormat="1" ht="22.5" customHeight="1" x14ac:dyDescent="0.15">
      <c r="A1040" s="200"/>
      <c r="B1040" s="19" t="s">
        <v>99</v>
      </c>
      <c r="C1040" s="172">
        <v>396</v>
      </c>
      <c r="D1040" s="249">
        <v>1316</v>
      </c>
      <c r="E1040" s="172">
        <v>650</v>
      </c>
      <c r="F1040" s="172">
        <v>666</v>
      </c>
      <c r="G1040" s="15"/>
    </row>
    <row r="1041" spans="1:7" s="43" customFormat="1" ht="22.5" customHeight="1" x14ac:dyDescent="0.15">
      <c r="A1041" s="200"/>
      <c r="B1041" s="19" t="s">
        <v>100</v>
      </c>
      <c r="C1041" s="172">
        <v>429</v>
      </c>
      <c r="D1041" s="249">
        <v>1414</v>
      </c>
      <c r="E1041" s="172">
        <v>704</v>
      </c>
      <c r="F1041" s="172">
        <v>710</v>
      </c>
      <c r="G1041" s="15"/>
    </row>
    <row r="1042" spans="1:7" s="43" customFormat="1" ht="22.5" customHeight="1" x14ac:dyDescent="0.15">
      <c r="A1042" s="200"/>
      <c r="B1042" s="19" t="s">
        <v>101</v>
      </c>
      <c r="C1042" s="172">
        <v>317</v>
      </c>
      <c r="D1042" s="249">
        <v>1058</v>
      </c>
      <c r="E1042" s="172">
        <v>517</v>
      </c>
      <c r="F1042" s="172">
        <v>541</v>
      </c>
      <c r="G1042" s="15"/>
    </row>
    <row r="1043" spans="1:7" s="43" customFormat="1" ht="22.5" customHeight="1" x14ac:dyDescent="0.15">
      <c r="A1043" s="200"/>
      <c r="B1043" s="19" t="s">
        <v>102</v>
      </c>
      <c r="C1043" s="172">
        <v>338</v>
      </c>
      <c r="D1043" s="249">
        <v>1099</v>
      </c>
      <c r="E1043" s="172">
        <v>558</v>
      </c>
      <c r="F1043" s="172">
        <v>541</v>
      </c>
      <c r="G1043" s="15"/>
    </row>
    <row r="1044" spans="1:7" s="43" customFormat="1" ht="22.5" customHeight="1" x14ac:dyDescent="0.15">
      <c r="A1044" s="200"/>
      <c r="B1044" s="19" t="s">
        <v>103</v>
      </c>
      <c r="C1044" s="172">
        <v>272</v>
      </c>
      <c r="D1044" s="249">
        <v>896</v>
      </c>
      <c r="E1044" s="172">
        <v>452</v>
      </c>
      <c r="F1044" s="172">
        <v>444</v>
      </c>
      <c r="G1044" s="15"/>
    </row>
    <row r="1045" spans="1:7" s="43" customFormat="1" ht="22.5" customHeight="1" x14ac:dyDescent="0.15">
      <c r="A1045" s="200"/>
      <c r="B1045" s="19" t="s">
        <v>104</v>
      </c>
      <c r="C1045" s="172">
        <v>423</v>
      </c>
      <c r="D1045" s="249">
        <v>1335</v>
      </c>
      <c r="E1045" s="172">
        <v>680</v>
      </c>
      <c r="F1045" s="172">
        <v>655</v>
      </c>
      <c r="G1045" s="15"/>
    </row>
    <row r="1046" spans="1:7" s="43" customFormat="1" ht="22.5" customHeight="1" x14ac:dyDescent="0.15">
      <c r="A1046" s="200"/>
      <c r="B1046" s="19" t="s">
        <v>105</v>
      </c>
      <c r="C1046" s="172">
        <v>364</v>
      </c>
      <c r="D1046" s="249">
        <v>1143</v>
      </c>
      <c r="E1046" s="172">
        <v>563</v>
      </c>
      <c r="F1046" s="172">
        <v>580</v>
      </c>
      <c r="G1046" s="15"/>
    </row>
    <row r="1047" spans="1:7" s="43" customFormat="1" ht="22.5" customHeight="1" x14ac:dyDescent="0.15">
      <c r="A1047" s="200"/>
      <c r="B1047" s="19" t="s">
        <v>106</v>
      </c>
      <c r="C1047" s="172">
        <v>343</v>
      </c>
      <c r="D1047" s="249">
        <v>429</v>
      </c>
      <c r="E1047" s="172">
        <v>236</v>
      </c>
      <c r="F1047" s="172">
        <v>193</v>
      </c>
      <c r="G1047" s="15"/>
    </row>
    <row r="1048" spans="1:7" s="43" customFormat="1" ht="22.5" customHeight="1" x14ac:dyDescent="0.15">
      <c r="A1048" s="200"/>
      <c r="B1048" s="19" t="s">
        <v>107</v>
      </c>
      <c r="C1048" s="172">
        <v>679</v>
      </c>
      <c r="D1048" s="249">
        <v>935</v>
      </c>
      <c r="E1048" s="172">
        <v>540</v>
      </c>
      <c r="F1048" s="172">
        <v>395</v>
      </c>
      <c r="G1048" s="15"/>
    </row>
    <row r="1049" spans="1:7" s="43" customFormat="1" ht="22.5" customHeight="1" x14ac:dyDescent="0.15">
      <c r="A1049" s="200"/>
      <c r="B1049" s="19" t="s">
        <v>108</v>
      </c>
      <c r="C1049" s="172">
        <v>429</v>
      </c>
      <c r="D1049" s="249">
        <v>474</v>
      </c>
      <c r="E1049" s="172">
        <v>323</v>
      </c>
      <c r="F1049" s="172">
        <v>151</v>
      </c>
      <c r="G1049" s="15"/>
    </row>
    <row r="1050" spans="1:7" s="43" customFormat="1" ht="22.5" customHeight="1" x14ac:dyDescent="0.15">
      <c r="A1050" s="200"/>
      <c r="B1050" s="19" t="s">
        <v>123</v>
      </c>
      <c r="C1050" s="172">
        <v>344</v>
      </c>
      <c r="D1050" s="249">
        <v>1024</v>
      </c>
      <c r="E1050" s="172">
        <v>517</v>
      </c>
      <c r="F1050" s="172">
        <v>507</v>
      </c>
      <c r="G1050" s="15"/>
    </row>
    <row r="1051" spans="1:7" s="43" customFormat="1" ht="22.5" customHeight="1" x14ac:dyDescent="0.15">
      <c r="A1051" s="200"/>
      <c r="B1051" s="19" t="s">
        <v>486</v>
      </c>
      <c r="C1051" s="172">
        <v>365</v>
      </c>
      <c r="D1051" s="249">
        <v>964</v>
      </c>
      <c r="E1051" s="172">
        <v>490</v>
      </c>
      <c r="F1051" s="172">
        <v>474</v>
      </c>
      <c r="G1051" s="15"/>
    </row>
    <row r="1052" spans="1:7" s="43" customFormat="1" ht="22.5" customHeight="1" thickBot="1" x14ac:dyDescent="0.2">
      <c r="A1052" s="200"/>
      <c r="B1052" s="19" t="s">
        <v>487</v>
      </c>
      <c r="C1052" s="243">
        <v>399</v>
      </c>
      <c r="D1052" s="249">
        <v>1099</v>
      </c>
      <c r="E1052" s="243">
        <v>546</v>
      </c>
      <c r="F1052" s="243">
        <v>553</v>
      </c>
      <c r="G1052" s="15"/>
    </row>
    <row r="1053" spans="1:7" s="81" customFormat="1" ht="22.5" customHeight="1" thickTop="1" x14ac:dyDescent="0.15">
      <c r="A1053" s="180" t="s">
        <v>314</v>
      </c>
      <c r="B1053" s="7" t="s">
        <v>0</v>
      </c>
      <c r="C1053" s="124">
        <f>SUM(C1054:C1093)</f>
        <v>13171</v>
      </c>
      <c r="D1053" s="125">
        <f>SUM(D1054:D1093)</f>
        <v>31541</v>
      </c>
      <c r="E1053" s="124">
        <f>SUM(E1054:E1093)</f>
        <v>15819</v>
      </c>
      <c r="F1053" s="124">
        <f>SUM(F1054:F1093)</f>
        <v>15722</v>
      </c>
      <c r="G1053" s="8"/>
    </row>
    <row r="1054" spans="1:7" s="43" customFormat="1" ht="22.5" customHeight="1" x14ac:dyDescent="0.15">
      <c r="A1054" s="181"/>
      <c r="B1054" s="20" t="s">
        <v>86</v>
      </c>
      <c r="C1054" s="171">
        <v>394</v>
      </c>
      <c r="D1054" s="249">
        <v>406</v>
      </c>
      <c r="E1054" s="171">
        <v>231</v>
      </c>
      <c r="F1054" s="171">
        <v>175</v>
      </c>
      <c r="G1054" s="23"/>
    </row>
    <row r="1055" spans="1:7" s="43" customFormat="1" ht="22.5" customHeight="1" x14ac:dyDescent="0.15">
      <c r="A1055" s="181"/>
      <c r="B1055" s="19" t="s">
        <v>67</v>
      </c>
      <c r="C1055" s="171">
        <v>318</v>
      </c>
      <c r="D1055" s="249">
        <v>650</v>
      </c>
      <c r="E1055" s="171">
        <v>307</v>
      </c>
      <c r="F1055" s="171">
        <v>343</v>
      </c>
      <c r="G1055" s="15"/>
    </row>
    <row r="1056" spans="1:7" s="43" customFormat="1" ht="22.5" customHeight="1" x14ac:dyDescent="0.15">
      <c r="A1056" s="181"/>
      <c r="B1056" s="19" t="s">
        <v>68</v>
      </c>
      <c r="C1056" s="171">
        <v>348</v>
      </c>
      <c r="D1056" s="249">
        <v>1063</v>
      </c>
      <c r="E1056" s="171">
        <v>538</v>
      </c>
      <c r="F1056" s="171">
        <v>525</v>
      </c>
      <c r="G1056" s="15"/>
    </row>
    <row r="1057" spans="1:7" s="43" customFormat="1" ht="22.5" customHeight="1" x14ac:dyDescent="0.15">
      <c r="A1057" s="181"/>
      <c r="B1057" s="19" t="s">
        <v>69</v>
      </c>
      <c r="C1057" s="171">
        <v>339</v>
      </c>
      <c r="D1057" s="249">
        <v>1051</v>
      </c>
      <c r="E1057" s="171">
        <v>525</v>
      </c>
      <c r="F1057" s="171">
        <v>526</v>
      </c>
      <c r="G1057" s="15"/>
    </row>
    <row r="1058" spans="1:7" s="43" customFormat="1" ht="22.5" customHeight="1" x14ac:dyDescent="0.15">
      <c r="A1058" s="181"/>
      <c r="B1058" s="19" t="s">
        <v>70</v>
      </c>
      <c r="C1058" s="171">
        <v>340</v>
      </c>
      <c r="D1058" s="249">
        <v>1079</v>
      </c>
      <c r="E1058" s="171">
        <v>533</v>
      </c>
      <c r="F1058" s="171">
        <v>546</v>
      </c>
      <c r="G1058" s="15"/>
    </row>
    <row r="1059" spans="1:7" s="43" customFormat="1" ht="22.5" customHeight="1" x14ac:dyDescent="0.15">
      <c r="A1059" s="181"/>
      <c r="B1059" s="19" t="s">
        <v>71</v>
      </c>
      <c r="C1059" s="171">
        <v>218</v>
      </c>
      <c r="D1059" s="249">
        <v>639</v>
      </c>
      <c r="E1059" s="171">
        <v>315</v>
      </c>
      <c r="F1059" s="171">
        <v>324</v>
      </c>
      <c r="G1059" s="15"/>
    </row>
    <row r="1060" spans="1:7" s="43" customFormat="1" ht="22.5" customHeight="1" x14ac:dyDescent="0.15">
      <c r="A1060" s="181"/>
      <c r="B1060" s="19" t="s">
        <v>72</v>
      </c>
      <c r="C1060" s="171">
        <v>279</v>
      </c>
      <c r="D1060" s="249">
        <v>899</v>
      </c>
      <c r="E1060" s="171">
        <v>433</v>
      </c>
      <c r="F1060" s="171">
        <v>466</v>
      </c>
      <c r="G1060" s="15"/>
    </row>
    <row r="1061" spans="1:7" s="43" customFormat="1" ht="22.5" customHeight="1" x14ac:dyDescent="0.15">
      <c r="A1061" s="181"/>
      <c r="B1061" s="19" t="s">
        <v>73</v>
      </c>
      <c r="C1061" s="171">
        <v>345</v>
      </c>
      <c r="D1061" s="249">
        <v>1027</v>
      </c>
      <c r="E1061" s="171">
        <v>498</v>
      </c>
      <c r="F1061" s="171">
        <v>529</v>
      </c>
      <c r="G1061" s="15"/>
    </row>
    <row r="1062" spans="1:7" s="43" customFormat="1" ht="22.5" customHeight="1" x14ac:dyDescent="0.15">
      <c r="A1062" s="181"/>
      <c r="B1062" s="19" t="s">
        <v>74</v>
      </c>
      <c r="C1062" s="171">
        <v>340</v>
      </c>
      <c r="D1062" s="249">
        <v>1012</v>
      </c>
      <c r="E1062" s="171">
        <v>513</v>
      </c>
      <c r="F1062" s="171">
        <v>499</v>
      </c>
      <c r="G1062" s="15"/>
    </row>
    <row r="1063" spans="1:7" s="43" customFormat="1" ht="22.5" customHeight="1" x14ac:dyDescent="0.15">
      <c r="A1063" s="181"/>
      <c r="B1063" s="19" t="s">
        <v>75</v>
      </c>
      <c r="C1063" s="171">
        <v>329</v>
      </c>
      <c r="D1063" s="249">
        <v>473</v>
      </c>
      <c r="E1063" s="171">
        <v>265</v>
      </c>
      <c r="F1063" s="171">
        <v>208</v>
      </c>
      <c r="G1063" s="15"/>
    </row>
    <row r="1064" spans="1:7" s="43" customFormat="1" ht="22.5" customHeight="1" x14ac:dyDescent="0.15">
      <c r="A1064" s="181"/>
      <c r="B1064" s="21" t="s">
        <v>76</v>
      </c>
      <c r="C1064" s="171">
        <v>236</v>
      </c>
      <c r="D1064" s="249">
        <v>713</v>
      </c>
      <c r="E1064" s="171">
        <v>370</v>
      </c>
      <c r="F1064" s="171">
        <v>343</v>
      </c>
      <c r="G1064" s="15"/>
    </row>
    <row r="1065" spans="1:7" s="43" customFormat="1" ht="22.5" customHeight="1" x14ac:dyDescent="0.15">
      <c r="A1065" s="181"/>
      <c r="B1065" s="19" t="s">
        <v>77</v>
      </c>
      <c r="C1065" s="171">
        <v>267</v>
      </c>
      <c r="D1065" s="249">
        <v>797</v>
      </c>
      <c r="E1065" s="171">
        <v>406</v>
      </c>
      <c r="F1065" s="171">
        <v>391</v>
      </c>
      <c r="G1065" s="10"/>
    </row>
    <row r="1066" spans="1:7" s="43" customFormat="1" ht="22.5" customHeight="1" x14ac:dyDescent="0.15">
      <c r="A1066" s="181"/>
      <c r="B1066" s="19" t="s">
        <v>78</v>
      </c>
      <c r="C1066" s="171">
        <v>267</v>
      </c>
      <c r="D1066" s="249">
        <v>810</v>
      </c>
      <c r="E1066" s="171">
        <v>423</v>
      </c>
      <c r="F1066" s="171">
        <v>387</v>
      </c>
      <c r="G1066" s="15"/>
    </row>
    <row r="1067" spans="1:7" s="43" customFormat="1" ht="22.5" customHeight="1" x14ac:dyDescent="0.15">
      <c r="A1067" s="181"/>
      <c r="B1067" s="19" t="s">
        <v>79</v>
      </c>
      <c r="C1067" s="171">
        <v>207</v>
      </c>
      <c r="D1067" s="249">
        <v>646</v>
      </c>
      <c r="E1067" s="171">
        <v>320</v>
      </c>
      <c r="F1067" s="171">
        <v>326</v>
      </c>
      <c r="G1067" s="15"/>
    </row>
    <row r="1068" spans="1:7" s="43" customFormat="1" ht="22.5" customHeight="1" x14ac:dyDescent="0.15">
      <c r="A1068" s="181"/>
      <c r="B1068" s="19" t="s">
        <v>80</v>
      </c>
      <c r="C1068" s="171">
        <v>263</v>
      </c>
      <c r="D1068" s="249">
        <v>843</v>
      </c>
      <c r="E1068" s="171">
        <v>410</v>
      </c>
      <c r="F1068" s="171">
        <v>433</v>
      </c>
      <c r="G1068" s="15"/>
    </row>
    <row r="1069" spans="1:7" s="43" customFormat="1" ht="22.5" customHeight="1" x14ac:dyDescent="0.15">
      <c r="A1069" s="181"/>
      <c r="B1069" s="19" t="s">
        <v>81</v>
      </c>
      <c r="C1069" s="171">
        <v>319</v>
      </c>
      <c r="D1069" s="249">
        <v>1012</v>
      </c>
      <c r="E1069" s="171">
        <v>501</v>
      </c>
      <c r="F1069" s="171">
        <v>511</v>
      </c>
      <c r="G1069" s="15"/>
    </row>
    <row r="1070" spans="1:7" s="43" customFormat="1" ht="22.5" customHeight="1" x14ac:dyDescent="0.15">
      <c r="A1070" s="181"/>
      <c r="B1070" s="19" t="s">
        <v>82</v>
      </c>
      <c r="C1070" s="171">
        <v>374</v>
      </c>
      <c r="D1070" s="249">
        <v>1201</v>
      </c>
      <c r="E1070" s="171">
        <v>582</v>
      </c>
      <c r="F1070" s="171">
        <v>619</v>
      </c>
      <c r="G1070" s="15"/>
    </row>
    <row r="1071" spans="1:7" s="43" customFormat="1" ht="22.5" customHeight="1" x14ac:dyDescent="0.15">
      <c r="A1071" s="181"/>
      <c r="B1071" s="19" t="s">
        <v>83</v>
      </c>
      <c r="C1071" s="171">
        <v>296</v>
      </c>
      <c r="D1071" s="249">
        <v>899</v>
      </c>
      <c r="E1071" s="171">
        <v>445</v>
      </c>
      <c r="F1071" s="171">
        <v>454</v>
      </c>
      <c r="G1071" s="10"/>
    </row>
    <row r="1072" spans="1:7" s="43" customFormat="1" ht="22.5" customHeight="1" x14ac:dyDescent="0.15">
      <c r="A1072" s="181"/>
      <c r="B1072" s="19" t="s">
        <v>84</v>
      </c>
      <c r="C1072" s="171">
        <v>275</v>
      </c>
      <c r="D1072" s="249">
        <v>692</v>
      </c>
      <c r="E1072" s="171">
        <v>332</v>
      </c>
      <c r="F1072" s="171">
        <v>360</v>
      </c>
      <c r="G1072" s="10"/>
    </row>
    <row r="1073" spans="1:7" s="43" customFormat="1" ht="22.5" customHeight="1" x14ac:dyDescent="0.15">
      <c r="A1073" s="181"/>
      <c r="B1073" s="19" t="s">
        <v>85</v>
      </c>
      <c r="C1073" s="171">
        <v>305</v>
      </c>
      <c r="D1073" s="249">
        <v>747</v>
      </c>
      <c r="E1073" s="171">
        <v>350</v>
      </c>
      <c r="F1073" s="171">
        <v>397</v>
      </c>
      <c r="G1073" s="10"/>
    </row>
    <row r="1074" spans="1:7" s="43" customFormat="1" ht="22.5" customHeight="1" x14ac:dyDescent="0.15">
      <c r="A1074" s="181"/>
      <c r="B1074" s="19" t="s">
        <v>87</v>
      </c>
      <c r="C1074" s="171">
        <v>445</v>
      </c>
      <c r="D1074" s="249">
        <v>688</v>
      </c>
      <c r="E1074" s="171">
        <v>380</v>
      </c>
      <c r="F1074" s="171">
        <v>308</v>
      </c>
      <c r="G1074" s="10"/>
    </row>
    <row r="1075" spans="1:7" s="43" customFormat="1" ht="22.5" customHeight="1" x14ac:dyDescent="0.15">
      <c r="A1075" s="181"/>
      <c r="B1075" s="19" t="s">
        <v>88</v>
      </c>
      <c r="C1075" s="171">
        <v>555</v>
      </c>
      <c r="D1075" s="249">
        <v>806</v>
      </c>
      <c r="E1075" s="171">
        <v>473</v>
      </c>
      <c r="F1075" s="171">
        <v>333</v>
      </c>
      <c r="G1075" s="10"/>
    </row>
    <row r="1076" spans="1:7" s="43" customFormat="1" ht="22.5" customHeight="1" x14ac:dyDescent="0.15">
      <c r="A1076" s="181"/>
      <c r="B1076" s="19" t="s">
        <v>89</v>
      </c>
      <c r="C1076" s="171">
        <v>290</v>
      </c>
      <c r="D1076" s="249">
        <v>860</v>
      </c>
      <c r="E1076" s="171">
        <v>425</v>
      </c>
      <c r="F1076" s="171">
        <v>435</v>
      </c>
      <c r="G1076" s="15"/>
    </row>
    <row r="1077" spans="1:7" s="43" customFormat="1" ht="22.5" customHeight="1" x14ac:dyDescent="0.15">
      <c r="A1077" s="181"/>
      <c r="B1077" s="19" t="s">
        <v>90</v>
      </c>
      <c r="C1077" s="171">
        <v>330</v>
      </c>
      <c r="D1077" s="249">
        <v>462</v>
      </c>
      <c r="E1077" s="171">
        <v>278</v>
      </c>
      <c r="F1077" s="171">
        <v>184</v>
      </c>
      <c r="G1077" s="15"/>
    </row>
    <row r="1078" spans="1:7" s="43" customFormat="1" ht="22.5" customHeight="1" x14ac:dyDescent="0.15">
      <c r="A1078" s="181"/>
      <c r="B1078" s="19" t="s">
        <v>91</v>
      </c>
      <c r="C1078" s="171">
        <v>236</v>
      </c>
      <c r="D1078" s="249">
        <v>462</v>
      </c>
      <c r="E1078" s="171">
        <v>208</v>
      </c>
      <c r="F1078" s="171">
        <v>254</v>
      </c>
      <c r="G1078" s="15"/>
    </row>
    <row r="1079" spans="1:7" s="43" customFormat="1" ht="22.5" customHeight="1" x14ac:dyDescent="0.15">
      <c r="A1079" s="181"/>
      <c r="B1079" s="19" t="s">
        <v>92</v>
      </c>
      <c r="C1079" s="171">
        <v>218</v>
      </c>
      <c r="D1079" s="249">
        <v>310</v>
      </c>
      <c r="E1079" s="171">
        <v>149</v>
      </c>
      <c r="F1079" s="171">
        <v>161</v>
      </c>
      <c r="G1079" s="15"/>
    </row>
    <row r="1080" spans="1:7" s="43" customFormat="1" ht="22.5" customHeight="1" x14ac:dyDescent="0.15">
      <c r="A1080" s="181"/>
      <c r="B1080" s="19" t="s">
        <v>93</v>
      </c>
      <c r="C1080" s="171">
        <v>517</v>
      </c>
      <c r="D1080" s="249">
        <v>654</v>
      </c>
      <c r="E1080" s="171">
        <v>390</v>
      </c>
      <c r="F1080" s="171">
        <v>264</v>
      </c>
      <c r="G1080" s="15"/>
    </row>
    <row r="1081" spans="1:7" s="43" customFormat="1" ht="22.5" customHeight="1" x14ac:dyDescent="0.15">
      <c r="A1081" s="181"/>
      <c r="B1081" s="19" t="s">
        <v>94</v>
      </c>
      <c r="C1081" s="171">
        <v>435</v>
      </c>
      <c r="D1081" s="249">
        <v>1215</v>
      </c>
      <c r="E1081" s="171">
        <v>590</v>
      </c>
      <c r="F1081" s="171">
        <v>625</v>
      </c>
      <c r="G1081" s="15"/>
    </row>
    <row r="1082" spans="1:7" s="43" customFormat="1" ht="22.5" customHeight="1" x14ac:dyDescent="0.15">
      <c r="A1082" s="181"/>
      <c r="B1082" s="19" t="s">
        <v>95</v>
      </c>
      <c r="C1082" s="171">
        <v>286</v>
      </c>
      <c r="D1082" s="249">
        <v>768</v>
      </c>
      <c r="E1082" s="171">
        <v>375</v>
      </c>
      <c r="F1082" s="171">
        <v>393</v>
      </c>
      <c r="G1082" s="15"/>
    </row>
    <row r="1083" spans="1:7" s="43" customFormat="1" ht="22.5" customHeight="1" x14ac:dyDescent="0.15">
      <c r="A1083" s="181"/>
      <c r="B1083" s="19" t="s">
        <v>96</v>
      </c>
      <c r="C1083" s="171">
        <v>300</v>
      </c>
      <c r="D1083" s="249">
        <v>627</v>
      </c>
      <c r="E1083" s="171">
        <v>302</v>
      </c>
      <c r="F1083" s="171">
        <v>325</v>
      </c>
      <c r="G1083" s="15"/>
    </row>
    <row r="1084" spans="1:7" s="43" customFormat="1" ht="22.5" customHeight="1" x14ac:dyDescent="0.15">
      <c r="A1084" s="181"/>
      <c r="B1084" s="19" t="s">
        <v>97</v>
      </c>
      <c r="C1084" s="171">
        <v>303</v>
      </c>
      <c r="D1084" s="249">
        <v>677</v>
      </c>
      <c r="E1084" s="171">
        <v>326</v>
      </c>
      <c r="F1084" s="171">
        <v>351</v>
      </c>
      <c r="G1084" s="15"/>
    </row>
    <row r="1085" spans="1:7" s="43" customFormat="1" ht="22.5" customHeight="1" x14ac:dyDescent="0.15">
      <c r="A1085" s="181"/>
      <c r="B1085" s="19" t="s">
        <v>98</v>
      </c>
      <c r="C1085" s="171">
        <v>495</v>
      </c>
      <c r="D1085" s="249">
        <v>1215</v>
      </c>
      <c r="E1085" s="171">
        <v>592</v>
      </c>
      <c r="F1085" s="171">
        <v>623</v>
      </c>
      <c r="G1085" s="15"/>
    </row>
    <row r="1086" spans="1:7" s="43" customFormat="1" ht="22.5" customHeight="1" x14ac:dyDescent="0.15">
      <c r="A1086" s="181"/>
      <c r="B1086" s="19" t="s">
        <v>99</v>
      </c>
      <c r="C1086" s="171">
        <v>513</v>
      </c>
      <c r="D1086" s="249">
        <v>1220</v>
      </c>
      <c r="E1086" s="171">
        <v>612</v>
      </c>
      <c r="F1086" s="171">
        <v>608</v>
      </c>
      <c r="G1086" s="15"/>
    </row>
    <row r="1087" spans="1:7" s="43" customFormat="1" ht="22.5" customHeight="1" x14ac:dyDescent="0.15">
      <c r="A1087" s="181"/>
      <c r="B1087" s="19" t="s">
        <v>100</v>
      </c>
      <c r="C1087" s="171">
        <v>427</v>
      </c>
      <c r="D1087" s="249">
        <v>989</v>
      </c>
      <c r="E1087" s="171">
        <v>491</v>
      </c>
      <c r="F1087" s="171">
        <v>498</v>
      </c>
      <c r="G1087" s="15"/>
    </row>
    <row r="1088" spans="1:7" s="43" customFormat="1" ht="22.5" customHeight="1" x14ac:dyDescent="0.15">
      <c r="A1088" s="181"/>
      <c r="B1088" s="19" t="s">
        <v>101</v>
      </c>
      <c r="C1088" s="171">
        <v>480</v>
      </c>
      <c r="D1088" s="249">
        <v>1181</v>
      </c>
      <c r="E1088" s="171">
        <v>571</v>
      </c>
      <c r="F1088" s="171">
        <v>610</v>
      </c>
      <c r="G1088" s="15"/>
    </row>
    <row r="1089" spans="1:7" s="43" customFormat="1" ht="22.5" customHeight="1" x14ac:dyDescent="0.15">
      <c r="A1089" s="181"/>
      <c r="B1089" s="19" t="s">
        <v>102</v>
      </c>
      <c r="C1089" s="171">
        <v>272</v>
      </c>
      <c r="D1089" s="249">
        <v>629</v>
      </c>
      <c r="E1089" s="171">
        <v>308</v>
      </c>
      <c r="F1089" s="171">
        <v>321</v>
      </c>
      <c r="G1089" s="15"/>
    </row>
    <row r="1090" spans="1:7" s="43" customFormat="1" ht="22.5" customHeight="1" x14ac:dyDescent="0.15">
      <c r="A1090" s="181"/>
      <c r="B1090" s="19" t="s">
        <v>103</v>
      </c>
      <c r="C1090" s="171">
        <v>228</v>
      </c>
      <c r="D1090" s="249">
        <v>494</v>
      </c>
      <c r="E1090" s="171">
        <v>249</v>
      </c>
      <c r="F1090" s="171">
        <v>245</v>
      </c>
      <c r="G1090" s="15"/>
    </row>
    <row r="1091" spans="1:7" s="43" customFormat="1" ht="22.5" customHeight="1" x14ac:dyDescent="0.15">
      <c r="A1091" s="181"/>
      <c r="B1091" s="19" t="s">
        <v>104</v>
      </c>
      <c r="C1091" s="171">
        <v>264</v>
      </c>
      <c r="D1091" s="249">
        <v>529</v>
      </c>
      <c r="E1091" s="171">
        <v>271</v>
      </c>
      <c r="F1091" s="171">
        <v>258</v>
      </c>
      <c r="G1091" s="15"/>
    </row>
    <row r="1092" spans="1:7" s="43" customFormat="1" ht="22.5" customHeight="1" x14ac:dyDescent="0.15">
      <c r="A1092" s="181"/>
      <c r="B1092" s="19" t="s">
        <v>105</v>
      </c>
      <c r="C1092" s="171">
        <v>280</v>
      </c>
      <c r="D1092" s="249">
        <v>588</v>
      </c>
      <c r="E1092" s="171">
        <v>276</v>
      </c>
      <c r="F1092" s="171">
        <v>312</v>
      </c>
      <c r="G1092" s="15"/>
    </row>
    <row r="1093" spans="1:7" s="43" customFormat="1" ht="22.5" customHeight="1" thickBot="1" x14ac:dyDescent="0.2">
      <c r="A1093" s="192"/>
      <c r="B1093" s="24" t="s">
        <v>106</v>
      </c>
      <c r="C1093" s="251">
        <v>238</v>
      </c>
      <c r="D1093" s="249">
        <v>508</v>
      </c>
      <c r="E1093" s="251">
        <v>256</v>
      </c>
      <c r="F1093" s="251">
        <v>252</v>
      </c>
      <c r="G1093" s="25"/>
    </row>
    <row r="1094" spans="1:7" s="43" customFormat="1" ht="22.5" customHeight="1" thickTop="1" x14ac:dyDescent="0.15">
      <c r="A1094" s="180" t="s">
        <v>315</v>
      </c>
      <c r="B1094" s="7" t="s">
        <v>0</v>
      </c>
      <c r="C1094" s="124">
        <f>SUM(C1095:C1133)</f>
        <v>14357</v>
      </c>
      <c r="D1094" s="125">
        <f>SUM(D1095:D1133)</f>
        <v>37287</v>
      </c>
      <c r="E1094" s="124">
        <f>SUM(E1095:E1133)</f>
        <v>18605</v>
      </c>
      <c r="F1094" s="124">
        <f>SUM(F1095:F1133)</f>
        <v>18682</v>
      </c>
      <c r="G1094" s="8"/>
    </row>
    <row r="1095" spans="1:7" s="43" customFormat="1" ht="22.5" customHeight="1" x14ac:dyDescent="0.15">
      <c r="A1095" s="181"/>
      <c r="B1095" s="20" t="s">
        <v>86</v>
      </c>
      <c r="C1095" s="253">
        <v>377</v>
      </c>
      <c r="D1095" s="249">
        <v>1113</v>
      </c>
      <c r="E1095" s="253">
        <v>575</v>
      </c>
      <c r="F1095" s="253">
        <v>538</v>
      </c>
      <c r="G1095" s="23"/>
    </row>
    <row r="1096" spans="1:7" s="43" customFormat="1" ht="22.5" customHeight="1" x14ac:dyDescent="0.15">
      <c r="A1096" s="181"/>
      <c r="B1096" s="19" t="s">
        <v>67</v>
      </c>
      <c r="C1096" s="235">
        <v>419</v>
      </c>
      <c r="D1096" s="249">
        <v>1292</v>
      </c>
      <c r="E1096" s="235">
        <v>643</v>
      </c>
      <c r="F1096" s="235">
        <v>649</v>
      </c>
      <c r="G1096" s="15"/>
    </row>
    <row r="1097" spans="1:7" s="43" customFormat="1" ht="22.5" customHeight="1" x14ac:dyDescent="0.15">
      <c r="A1097" s="181"/>
      <c r="B1097" s="19" t="s">
        <v>68</v>
      </c>
      <c r="C1097" s="235">
        <v>504</v>
      </c>
      <c r="D1097" s="249">
        <v>1037</v>
      </c>
      <c r="E1097" s="235">
        <v>498</v>
      </c>
      <c r="F1097" s="235">
        <v>539</v>
      </c>
      <c r="G1097" s="15"/>
    </row>
    <row r="1098" spans="1:7" s="43" customFormat="1" ht="22.5" customHeight="1" x14ac:dyDescent="0.15">
      <c r="A1098" s="181"/>
      <c r="B1098" s="19" t="s">
        <v>69</v>
      </c>
      <c r="C1098" s="235">
        <v>401</v>
      </c>
      <c r="D1098" s="249">
        <v>1060</v>
      </c>
      <c r="E1098" s="235">
        <v>542</v>
      </c>
      <c r="F1098" s="235">
        <v>518</v>
      </c>
      <c r="G1098" s="15"/>
    </row>
    <row r="1099" spans="1:7" s="43" customFormat="1" ht="22.5" customHeight="1" x14ac:dyDescent="0.15">
      <c r="A1099" s="181"/>
      <c r="B1099" s="19" t="s">
        <v>70</v>
      </c>
      <c r="C1099" s="235">
        <v>357</v>
      </c>
      <c r="D1099" s="249">
        <v>1029</v>
      </c>
      <c r="E1099" s="235">
        <v>504</v>
      </c>
      <c r="F1099" s="235">
        <v>525</v>
      </c>
      <c r="G1099" s="15"/>
    </row>
    <row r="1100" spans="1:7" s="43" customFormat="1" ht="22.5" customHeight="1" x14ac:dyDescent="0.15">
      <c r="A1100" s="181"/>
      <c r="B1100" s="19" t="s">
        <v>71</v>
      </c>
      <c r="C1100" s="235">
        <v>311</v>
      </c>
      <c r="D1100" s="249">
        <v>787</v>
      </c>
      <c r="E1100" s="235">
        <v>393</v>
      </c>
      <c r="F1100" s="235">
        <v>394</v>
      </c>
      <c r="G1100" s="15"/>
    </row>
    <row r="1101" spans="1:7" s="43" customFormat="1" ht="22.5" customHeight="1" x14ac:dyDescent="0.15">
      <c r="A1101" s="181"/>
      <c r="B1101" s="19" t="s">
        <v>72</v>
      </c>
      <c r="C1101" s="235">
        <v>478</v>
      </c>
      <c r="D1101" s="249">
        <v>668</v>
      </c>
      <c r="E1101" s="235">
        <v>347</v>
      </c>
      <c r="F1101" s="235">
        <v>321</v>
      </c>
      <c r="G1101" s="15"/>
    </row>
    <row r="1102" spans="1:7" s="43" customFormat="1" ht="22.5" customHeight="1" x14ac:dyDescent="0.15">
      <c r="A1102" s="181"/>
      <c r="B1102" s="19" t="s">
        <v>73</v>
      </c>
      <c r="C1102" s="235">
        <v>288</v>
      </c>
      <c r="D1102" s="249">
        <v>995</v>
      </c>
      <c r="E1102" s="235">
        <v>488</v>
      </c>
      <c r="F1102" s="235">
        <v>507</v>
      </c>
      <c r="G1102" s="15"/>
    </row>
    <row r="1103" spans="1:7" s="43" customFormat="1" ht="22.5" customHeight="1" x14ac:dyDescent="0.15">
      <c r="A1103" s="181"/>
      <c r="B1103" s="19" t="s">
        <v>74</v>
      </c>
      <c r="C1103" s="235">
        <v>282</v>
      </c>
      <c r="D1103" s="249">
        <v>968</v>
      </c>
      <c r="E1103" s="235">
        <v>474</v>
      </c>
      <c r="F1103" s="235">
        <v>494</v>
      </c>
      <c r="G1103" s="15"/>
    </row>
    <row r="1104" spans="1:7" s="43" customFormat="1" ht="22.5" customHeight="1" x14ac:dyDescent="0.15">
      <c r="A1104" s="181"/>
      <c r="B1104" s="19" t="s">
        <v>75</v>
      </c>
      <c r="C1104" s="235">
        <v>416</v>
      </c>
      <c r="D1104" s="249">
        <v>1421</v>
      </c>
      <c r="E1104" s="235">
        <v>719</v>
      </c>
      <c r="F1104" s="235">
        <v>702</v>
      </c>
      <c r="G1104" s="15"/>
    </row>
    <row r="1105" spans="1:7" s="43" customFormat="1" ht="22.5" customHeight="1" x14ac:dyDescent="0.15">
      <c r="A1105" s="181"/>
      <c r="B1105" s="19" t="s">
        <v>76</v>
      </c>
      <c r="C1105" s="235">
        <v>498</v>
      </c>
      <c r="D1105" s="249">
        <v>1198</v>
      </c>
      <c r="E1105" s="235">
        <v>582</v>
      </c>
      <c r="F1105" s="235">
        <v>616</v>
      </c>
      <c r="G1105" s="15"/>
    </row>
    <row r="1106" spans="1:7" s="43" customFormat="1" ht="22.5" customHeight="1" x14ac:dyDescent="0.15">
      <c r="A1106" s="181"/>
      <c r="B1106" s="19" t="s">
        <v>77</v>
      </c>
      <c r="C1106" s="235">
        <v>356</v>
      </c>
      <c r="D1106" s="249">
        <v>1201</v>
      </c>
      <c r="E1106" s="235">
        <v>596</v>
      </c>
      <c r="F1106" s="235">
        <v>605</v>
      </c>
      <c r="G1106" s="15"/>
    </row>
    <row r="1107" spans="1:7" s="43" customFormat="1" ht="22.5" customHeight="1" x14ac:dyDescent="0.15">
      <c r="A1107" s="181"/>
      <c r="B1107" s="19" t="s">
        <v>78</v>
      </c>
      <c r="C1107" s="235">
        <v>417</v>
      </c>
      <c r="D1107" s="249">
        <v>980</v>
      </c>
      <c r="E1107" s="235">
        <v>465</v>
      </c>
      <c r="F1107" s="235">
        <v>515</v>
      </c>
      <c r="G1107" s="15"/>
    </row>
    <row r="1108" spans="1:7" s="43" customFormat="1" ht="22.5" customHeight="1" x14ac:dyDescent="0.15">
      <c r="A1108" s="181"/>
      <c r="B1108" s="19" t="s">
        <v>79</v>
      </c>
      <c r="C1108" s="235">
        <v>339</v>
      </c>
      <c r="D1108" s="249">
        <v>1105</v>
      </c>
      <c r="E1108" s="235">
        <v>548</v>
      </c>
      <c r="F1108" s="235">
        <v>557</v>
      </c>
      <c r="G1108" s="15"/>
    </row>
    <row r="1109" spans="1:7" s="43" customFormat="1" ht="22.5" customHeight="1" x14ac:dyDescent="0.15">
      <c r="A1109" s="181"/>
      <c r="B1109" s="19" t="s">
        <v>80</v>
      </c>
      <c r="C1109" s="235">
        <v>339</v>
      </c>
      <c r="D1109" s="249">
        <v>1113</v>
      </c>
      <c r="E1109" s="235">
        <v>562</v>
      </c>
      <c r="F1109" s="235">
        <v>551</v>
      </c>
      <c r="G1109" s="15"/>
    </row>
    <row r="1110" spans="1:7" s="43" customFormat="1" ht="22.5" customHeight="1" x14ac:dyDescent="0.15">
      <c r="A1110" s="181"/>
      <c r="B1110" s="19" t="s">
        <v>81</v>
      </c>
      <c r="C1110" s="235">
        <v>275</v>
      </c>
      <c r="D1110" s="249">
        <v>907</v>
      </c>
      <c r="E1110" s="235">
        <v>457</v>
      </c>
      <c r="F1110" s="235">
        <v>450</v>
      </c>
      <c r="G1110" s="15"/>
    </row>
    <row r="1111" spans="1:7" s="43" customFormat="1" ht="22.5" customHeight="1" x14ac:dyDescent="0.15">
      <c r="A1111" s="181"/>
      <c r="B1111" s="19" t="s">
        <v>82</v>
      </c>
      <c r="C1111" s="235">
        <v>317</v>
      </c>
      <c r="D1111" s="249">
        <v>1048</v>
      </c>
      <c r="E1111" s="235">
        <v>524</v>
      </c>
      <c r="F1111" s="235">
        <v>524</v>
      </c>
      <c r="G1111" s="15"/>
    </row>
    <row r="1112" spans="1:7" s="43" customFormat="1" ht="22.5" customHeight="1" x14ac:dyDescent="0.15">
      <c r="A1112" s="181"/>
      <c r="B1112" s="19" t="s">
        <v>83</v>
      </c>
      <c r="C1112" s="235">
        <v>301</v>
      </c>
      <c r="D1112" s="249">
        <v>1034</v>
      </c>
      <c r="E1112" s="235">
        <v>524</v>
      </c>
      <c r="F1112" s="235">
        <v>510</v>
      </c>
      <c r="G1112" s="15"/>
    </row>
    <row r="1113" spans="1:7" s="43" customFormat="1" ht="22.5" customHeight="1" x14ac:dyDescent="0.15">
      <c r="A1113" s="181"/>
      <c r="B1113" s="19" t="s">
        <v>84</v>
      </c>
      <c r="C1113" s="235">
        <v>251</v>
      </c>
      <c r="D1113" s="249">
        <v>854</v>
      </c>
      <c r="E1113" s="235">
        <v>443</v>
      </c>
      <c r="F1113" s="235">
        <v>411</v>
      </c>
      <c r="G1113" s="15"/>
    </row>
    <row r="1114" spans="1:7" s="43" customFormat="1" ht="22.5" customHeight="1" x14ac:dyDescent="0.15">
      <c r="A1114" s="181"/>
      <c r="B1114" s="19" t="s">
        <v>85</v>
      </c>
      <c r="C1114" s="235">
        <v>347</v>
      </c>
      <c r="D1114" s="249">
        <v>1193</v>
      </c>
      <c r="E1114" s="235">
        <v>605</v>
      </c>
      <c r="F1114" s="235">
        <v>588</v>
      </c>
      <c r="G1114" s="15"/>
    </row>
    <row r="1115" spans="1:7" s="43" customFormat="1" ht="22.5" customHeight="1" x14ac:dyDescent="0.15">
      <c r="A1115" s="181"/>
      <c r="B1115" s="19" t="s">
        <v>87</v>
      </c>
      <c r="C1115" s="235">
        <v>348</v>
      </c>
      <c r="D1115" s="249">
        <v>1133</v>
      </c>
      <c r="E1115" s="235">
        <v>569</v>
      </c>
      <c r="F1115" s="235">
        <v>564</v>
      </c>
      <c r="G1115" s="15"/>
    </row>
    <row r="1116" spans="1:7" s="43" customFormat="1" ht="22.5" customHeight="1" x14ac:dyDescent="0.15">
      <c r="A1116" s="181"/>
      <c r="B1116" s="19" t="s">
        <v>88</v>
      </c>
      <c r="C1116" s="235">
        <v>457</v>
      </c>
      <c r="D1116" s="249">
        <v>1110</v>
      </c>
      <c r="E1116" s="235">
        <v>523</v>
      </c>
      <c r="F1116" s="235">
        <v>587</v>
      </c>
      <c r="G1116" s="15"/>
    </row>
    <row r="1117" spans="1:7" s="43" customFormat="1" ht="22.5" customHeight="1" x14ac:dyDescent="0.15">
      <c r="A1117" s="181"/>
      <c r="B1117" s="19" t="s">
        <v>89</v>
      </c>
      <c r="C1117" s="235">
        <v>475</v>
      </c>
      <c r="D1117" s="249">
        <v>657</v>
      </c>
      <c r="E1117" s="235">
        <v>313</v>
      </c>
      <c r="F1117" s="235">
        <v>344</v>
      </c>
      <c r="G1117" s="15"/>
    </row>
    <row r="1118" spans="1:7" s="43" customFormat="1" ht="22.5" customHeight="1" x14ac:dyDescent="0.15">
      <c r="A1118" s="181"/>
      <c r="B1118" s="19" t="s">
        <v>90</v>
      </c>
      <c r="C1118" s="235">
        <v>236</v>
      </c>
      <c r="D1118" s="249">
        <v>810</v>
      </c>
      <c r="E1118" s="235">
        <v>422</v>
      </c>
      <c r="F1118" s="235">
        <v>388</v>
      </c>
      <c r="G1118" s="15"/>
    </row>
    <row r="1119" spans="1:7" s="43" customFormat="1" ht="22.5" customHeight="1" x14ac:dyDescent="0.15">
      <c r="A1119" s="181"/>
      <c r="B1119" s="19" t="s">
        <v>91</v>
      </c>
      <c r="C1119" s="235">
        <v>291</v>
      </c>
      <c r="D1119" s="249">
        <v>657</v>
      </c>
      <c r="E1119" s="235">
        <v>316</v>
      </c>
      <c r="F1119" s="235">
        <v>341</v>
      </c>
      <c r="G1119" s="15"/>
    </row>
    <row r="1120" spans="1:7" s="43" customFormat="1" ht="22.5" customHeight="1" x14ac:dyDescent="0.15">
      <c r="A1120" s="181"/>
      <c r="B1120" s="19" t="s">
        <v>92</v>
      </c>
      <c r="C1120" s="235">
        <v>271</v>
      </c>
      <c r="D1120" s="249">
        <v>945</v>
      </c>
      <c r="E1120" s="235">
        <v>468</v>
      </c>
      <c r="F1120" s="235">
        <v>477</v>
      </c>
      <c r="G1120" s="15"/>
    </row>
    <row r="1121" spans="1:7" s="43" customFormat="1" ht="22.5" customHeight="1" x14ac:dyDescent="0.15">
      <c r="A1121" s="181"/>
      <c r="B1121" s="19" t="s">
        <v>93</v>
      </c>
      <c r="C1121" s="235">
        <v>343</v>
      </c>
      <c r="D1121" s="249">
        <v>777</v>
      </c>
      <c r="E1121" s="235">
        <v>385</v>
      </c>
      <c r="F1121" s="235">
        <v>392</v>
      </c>
      <c r="G1121" s="15"/>
    </row>
    <row r="1122" spans="1:7" s="43" customFormat="1" ht="22.5" customHeight="1" x14ac:dyDescent="0.15">
      <c r="A1122" s="181"/>
      <c r="B1122" s="19" t="s">
        <v>94</v>
      </c>
      <c r="C1122" s="235">
        <v>322</v>
      </c>
      <c r="D1122" s="249">
        <v>1093</v>
      </c>
      <c r="E1122" s="235">
        <v>539</v>
      </c>
      <c r="F1122" s="235">
        <v>554</v>
      </c>
      <c r="G1122" s="15"/>
    </row>
    <row r="1123" spans="1:7" s="43" customFormat="1" ht="22.5" customHeight="1" x14ac:dyDescent="0.15">
      <c r="A1123" s="181"/>
      <c r="B1123" s="19" t="s">
        <v>95</v>
      </c>
      <c r="C1123" s="235">
        <v>351</v>
      </c>
      <c r="D1123" s="249">
        <v>1212</v>
      </c>
      <c r="E1123" s="235">
        <v>613</v>
      </c>
      <c r="F1123" s="235">
        <v>599</v>
      </c>
      <c r="G1123" s="15"/>
    </row>
    <row r="1124" spans="1:7" s="43" customFormat="1" ht="22.5" customHeight="1" x14ac:dyDescent="0.15">
      <c r="A1124" s="181"/>
      <c r="B1124" s="19" t="s">
        <v>96</v>
      </c>
      <c r="C1124" s="235">
        <v>447</v>
      </c>
      <c r="D1124" s="249">
        <v>1385</v>
      </c>
      <c r="E1124" s="235">
        <v>669</v>
      </c>
      <c r="F1124" s="235">
        <v>716</v>
      </c>
      <c r="G1124" s="15"/>
    </row>
    <row r="1125" spans="1:7" s="43" customFormat="1" ht="22.5" customHeight="1" x14ac:dyDescent="0.15">
      <c r="A1125" s="181"/>
      <c r="B1125" s="19" t="s">
        <v>97</v>
      </c>
      <c r="C1125" s="235">
        <v>338</v>
      </c>
      <c r="D1125" s="249">
        <v>1112</v>
      </c>
      <c r="E1125" s="235">
        <v>577</v>
      </c>
      <c r="F1125" s="235">
        <v>535</v>
      </c>
      <c r="G1125" s="15"/>
    </row>
    <row r="1126" spans="1:7" s="43" customFormat="1" ht="22.5" customHeight="1" x14ac:dyDescent="0.15">
      <c r="A1126" s="181"/>
      <c r="B1126" s="19" t="s">
        <v>98</v>
      </c>
      <c r="C1126" s="235">
        <v>339</v>
      </c>
      <c r="D1126" s="249">
        <v>925</v>
      </c>
      <c r="E1126" s="235">
        <v>458</v>
      </c>
      <c r="F1126" s="235">
        <v>467</v>
      </c>
      <c r="G1126" s="15"/>
    </row>
    <row r="1127" spans="1:7" s="43" customFormat="1" ht="22.5" customHeight="1" x14ac:dyDescent="0.15">
      <c r="A1127" s="181"/>
      <c r="B1127" s="19" t="s">
        <v>99</v>
      </c>
      <c r="C1127" s="235">
        <v>387</v>
      </c>
      <c r="D1127" s="249">
        <v>1053</v>
      </c>
      <c r="E1127" s="235">
        <v>535</v>
      </c>
      <c r="F1127" s="235">
        <v>518</v>
      </c>
      <c r="G1127" s="15"/>
    </row>
    <row r="1128" spans="1:7" s="43" customFormat="1" ht="22.5" customHeight="1" x14ac:dyDescent="0.15">
      <c r="A1128" s="181"/>
      <c r="B1128" s="19" t="s">
        <v>100</v>
      </c>
      <c r="C1128" s="235">
        <v>475</v>
      </c>
      <c r="D1128" s="249">
        <v>512</v>
      </c>
      <c r="E1128" s="235">
        <v>254</v>
      </c>
      <c r="F1128" s="235">
        <v>258</v>
      </c>
      <c r="G1128" s="15"/>
    </row>
    <row r="1129" spans="1:7" s="43" customFormat="1" ht="22.5" customHeight="1" x14ac:dyDescent="0.15">
      <c r="A1129" s="181"/>
      <c r="B1129" s="19" t="s">
        <v>101</v>
      </c>
      <c r="C1129" s="235">
        <v>478</v>
      </c>
      <c r="D1129" s="249">
        <v>573</v>
      </c>
      <c r="E1129" s="235">
        <v>292</v>
      </c>
      <c r="F1129" s="235">
        <v>281</v>
      </c>
      <c r="G1129" s="15"/>
    </row>
    <row r="1130" spans="1:7" s="43" customFormat="1" ht="22.5" customHeight="1" x14ac:dyDescent="0.15">
      <c r="A1130" s="181"/>
      <c r="B1130" s="19" t="s">
        <v>102</v>
      </c>
      <c r="C1130" s="235">
        <v>225</v>
      </c>
      <c r="D1130" s="249">
        <v>709</v>
      </c>
      <c r="E1130" s="235">
        <v>366</v>
      </c>
      <c r="F1130" s="235">
        <v>343</v>
      </c>
      <c r="G1130" s="15"/>
    </row>
    <row r="1131" spans="1:7" s="43" customFormat="1" ht="22.5" customHeight="1" x14ac:dyDescent="0.15">
      <c r="A1131" s="181"/>
      <c r="B1131" s="19" t="s">
        <v>488</v>
      </c>
      <c r="C1131" s="235">
        <v>419</v>
      </c>
      <c r="D1131" s="249">
        <v>663</v>
      </c>
      <c r="E1131" s="235">
        <v>329</v>
      </c>
      <c r="F1131" s="235">
        <v>334</v>
      </c>
      <c r="G1131" s="15"/>
    </row>
    <row r="1132" spans="1:7" s="43" customFormat="1" ht="22.5" customHeight="1" x14ac:dyDescent="0.15">
      <c r="A1132" s="181"/>
      <c r="B1132" s="19" t="s">
        <v>489</v>
      </c>
      <c r="C1132" s="235">
        <v>417</v>
      </c>
      <c r="D1132" s="249">
        <v>451</v>
      </c>
      <c r="E1132" s="235">
        <v>239</v>
      </c>
      <c r="F1132" s="235">
        <v>212</v>
      </c>
      <c r="G1132" s="15"/>
    </row>
    <row r="1133" spans="1:7" s="43" customFormat="1" ht="22.5" customHeight="1" thickBot="1" x14ac:dyDescent="0.2">
      <c r="A1133" s="192"/>
      <c r="B1133" s="19" t="s">
        <v>490</v>
      </c>
      <c r="C1133" s="235">
        <v>465</v>
      </c>
      <c r="D1133" s="249">
        <v>507</v>
      </c>
      <c r="E1133" s="235">
        <v>249</v>
      </c>
      <c r="F1133" s="235">
        <v>258</v>
      </c>
      <c r="G1133" s="15"/>
    </row>
    <row r="1134" spans="1:7" s="43" customFormat="1" ht="22.5" customHeight="1" thickTop="1" x14ac:dyDescent="0.15">
      <c r="A1134" s="180" t="s">
        <v>316</v>
      </c>
      <c r="B1134" s="7" t="s">
        <v>0</v>
      </c>
      <c r="C1134" s="124">
        <f>SUM(C1135:C1207)</f>
        <v>29302</v>
      </c>
      <c r="D1134" s="125">
        <f t="shared" ref="D1134:F1134" si="4">SUM(D1135:D1207)</f>
        <v>56813</v>
      </c>
      <c r="E1134" s="124">
        <f t="shared" si="4"/>
        <v>29393</v>
      </c>
      <c r="F1134" s="124">
        <f t="shared" si="4"/>
        <v>27420</v>
      </c>
      <c r="G1134" s="8"/>
    </row>
    <row r="1135" spans="1:7" s="43" customFormat="1" ht="22.5" customHeight="1" x14ac:dyDescent="0.15">
      <c r="A1135" s="181"/>
      <c r="B1135" s="19" t="s">
        <v>86</v>
      </c>
      <c r="C1135" s="162">
        <v>185</v>
      </c>
      <c r="D1135" s="249">
        <v>293</v>
      </c>
      <c r="E1135" s="126">
        <v>166</v>
      </c>
      <c r="F1135" s="126">
        <v>127</v>
      </c>
      <c r="G1135" s="10"/>
    </row>
    <row r="1136" spans="1:7" s="43" customFormat="1" ht="22.5" customHeight="1" x14ac:dyDescent="0.15">
      <c r="A1136" s="181"/>
      <c r="B1136" s="19" t="s">
        <v>67</v>
      </c>
      <c r="C1136" s="162">
        <v>170</v>
      </c>
      <c r="D1136" s="249">
        <v>390</v>
      </c>
      <c r="E1136" s="126">
        <v>204</v>
      </c>
      <c r="F1136" s="126">
        <v>186</v>
      </c>
      <c r="G1136" s="10"/>
    </row>
    <row r="1137" spans="1:7" s="43" customFormat="1" ht="22.5" customHeight="1" x14ac:dyDescent="0.15">
      <c r="A1137" s="181"/>
      <c r="B1137" s="20" t="s">
        <v>68</v>
      </c>
      <c r="C1137" s="162">
        <v>93</v>
      </c>
      <c r="D1137" s="249">
        <v>139</v>
      </c>
      <c r="E1137" s="126">
        <v>74</v>
      </c>
      <c r="F1137" s="126">
        <v>65</v>
      </c>
      <c r="G1137" s="12"/>
    </row>
    <row r="1138" spans="1:7" s="43" customFormat="1" ht="22.5" customHeight="1" x14ac:dyDescent="0.15">
      <c r="A1138" s="181"/>
      <c r="B1138" s="19" t="s">
        <v>69</v>
      </c>
      <c r="C1138" s="162">
        <v>344</v>
      </c>
      <c r="D1138" s="249">
        <v>576</v>
      </c>
      <c r="E1138" s="126">
        <v>318</v>
      </c>
      <c r="F1138" s="126">
        <v>258</v>
      </c>
      <c r="G1138" s="10"/>
    </row>
    <row r="1139" spans="1:7" s="43" customFormat="1" ht="22.5" customHeight="1" x14ac:dyDescent="0.15">
      <c r="A1139" s="181"/>
      <c r="B1139" s="19" t="s">
        <v>70</v>
      </c>
      <c r="C1139" s="162">
        <v>215</v>
      </c>
      <c r="D1139" s="249">
        <v>352</v>
      </c>
      <c r="E1139" s="126">
        <v>207</v>
      </c>
      <c r="F1139" s="126">
        <v>145</v>
      </c>
      <c r="G1139" s="10"/>
    </row>
    <row r="1140" spans="1:7" s="43" customFormat="1" ht="22.5" customHeight="1" x14ac:dyDescent="0.15">
      <c r="A1140" s="181"/>
      <c r="B1140" s="20" t="s">
        <v>71</v>
      </c>
      <c r="C1140" s="162">
        <v>291</v>
      </c>
      <c r="D1140" s="249">
        <v>389</v>
      </c>
      <c r="E1140" s="126">
        <v>216</v>
      </c>
      <c r="F1140" s="126">
        <v>173</v>
      </c>
      <c r="G1140" s="12"/>
    </row>
    <row r="1141" spans="1:7" s="43" customFormat="1" ht="22.5" customHeight="1" x14ac:dyDescent="0.15">
      <c r="A1141" s="181"/>
      <c r="B1141" s="19" t="s">
        <v>72</v>
      </c>
      <c r="C1141" s="162">
        <v>157</v>
      </c>
      <c r="D1141" s="249">
        <v>322</v>
      </c>
      <c r="E1141" s="126">
        <v>174</v>
      </c>
      <c r="F1141" s="126">
        <v>148</v>
      </c>
      <c r="G1141" s="10"/>
    </row>
    <row r="1142" spans="1:7" s="43" customFormat="1" ht="22.5" customHeight="1" x14ac:dyDescent="0.15">
      <c r="A1142" s="181"/>
      <c r="B1142" s="19" t="s">
        <v>73</v>
      </c>
      <c r="C1142" s="162">
        <v>33</v>
      </c>
      <c r="D1142" s="249">
        <v>65</v>
      </c>
      <c r="E1142" s="126">
        <v>33</v>
      </c>
      <c r="F1142" s="126">
        <v>32</v>
      </c>
      <c r="G1142" s="10"/>
    </row>
    <row r="1143" spans="1:7" s="43" customFormat="1" ht="22.5" customHeight="1" x14ac:dyDescent="0.15">
      <c r="A1143" s="181"/>
      <c r="B1143" s="19" t="s">
        <v>74</v>
      </c>
      <c r="C1143" s="162">
        <v>78</v>
      </c>
      <c r="D1143" s="249">
        <v>170</v>
      </c>
      <c r="E1143" s="126">
        <v>96</v>
      </c>
      <c r="F1143" s="126">
        <v>74</v>
      </c>
      <c r="G1143" s="10"/>
    </row>
    <row r="1144" spans="1:7" s="43" customFormat="1" ht="22.5" customHeight="1" x14ac:dyDescent="0.15">
      <c r="A1144" s="181"/>
      <c r="B1144" s="19" t="s">
        <v>75</v>
      </c>
      <c r="C1144" s="162">
        <v>48</v>
      </c>
      <c r="D1144" s="249">
        <v>95</v>
      </c>
      <c r="E1144" s="126">
        <v>59</v>
      </c>
      <c r="F1144" s="126">
        <v>36</v>
      </c>
      <c r="G1144" s="10"/>
    </row>
    <row r="1145" spans="1:7" s="43" customFormat="1" ht="22.5" customHeight="1" x14ac:dyDescent="0.15">
      <c r="A1145" s="181"/>
      <c r="B1145" s="19" t="s">
        <v>76</v>
      </c>
      <c r="C1145" s="162">
        <v>161</v>
      </c>
      <c r="D1145" s="249">
        <v>341</v>
      </c>
      <c r="E1145" s="126">
        <v>171</v>
      </c>
      <c r="F1145" s="126">
        <v>170</v>
      </c>
      <c r="G1145" s="10"/>
    </row>
    <row r="1146" spans="1:7" s="43" customFormat="1" ht="22.5" customHeight="1" x14ac:dyDescent="0.15">
      <c r="A1146" s="181"/>
      <c r="B1146" s="19" t="s">
        <v>77</v>
      </c>
      <c r="C1146" s="162">
        <v>144</v>
      </c>
      <c r="D1146" s="249">
        <v>390</v>
      </c>
      <c r="E1146" s="126">
        <v>191</v>
      </c>
      <c r="F1146" s="126">
        <v>199</v>
      </c>
      <c r="G1146" s="10"/>
    </row>
    <row r="1147" spans="1:7" s="43" customFormat="1" ht="22.5" customHeight="1" x14ac:dyDescent="0.15">
      <c r="A1147" s="181"/>
      <c r="B1147" s="19" t="s">
        <v>78</v>
      </c>
      <c r="C1147" s="162">
        <v>72</v>
      </c>
      <c r="D1147" s="249">
        <v>129</v>
      </c>
      <c r="E1147" s="126">
        <v>65</v>
      </c>
      <c r="F1147" s="126">
        <v>64</v>
      </c>
      <c r="G1147" s="10"/>
    </row>
    <row r="1148" spans="1:7" s="43" customFormat="1" ht="22.5" customHeight="1" x14ac:dyDescent="0.15">
      <c r="A1148" s="181"/>
      <c r="B1148" s="19" t="s">
        <v>79</v>
      </c>
      <c r="C1148" s="162">
        <v>98</v>
      </c>
      <c r="D1148" s="249">
        <v>134</v>
      </c>
      <c r="E1148" s="126">
        <v>74</v>
      </c>
      <c r="F1148" s="126">
        <v>60</v>
      </c>
      <c r="G1148" s="10"/>
    </row>
    <row r="1149" spans="1:7" s="43" customFormat="1" ht="22.5" customHeight="1" x14ac:dyDescent="0.15">
      <c r="A1149" s="181"/>
      <c r="B1149" s="19" t="s">
        <v>80</v>
      </c>
      <c r="C1149" s="162">
        <v>668</v>
      </c>
      <c r="D1149" s="249">
        <v>742</v>
      </c>
      <c r="E1149" s="126">
        <v>546</v>
      </c>
      <c r="F1149" s="126">
        <v>196</v>
      </c>
      <c r="G1149" s="10"/>
    </row>
    <row r="1150" spans="1:7" s="43" customFormat="1" ht="22.5" customHeight="1" x14ac:dyDescent="0.15">
      <c r="A1150" s="181"/>
      <c r="B1150" s="19" t="s">
        <v>81</v>
      </c>
      <c r="C1150" s="162">
        <v>472</v>
      </c>
      <c r="D1150" s="249">
        <v>566</v>
      </c>
      <c r="E1150" s="126">
        <v>367</v>
      </c>
      <c r="F1150" s="126">
        <v>199</v>
      </c>
      <c r="G1150" s="10"/>
    </row>
    <row r="1151" spans="1:7" s="43" customFormat="1" ht="22.5" customHeight="1" x14ac:dyDescent="0.15">
      <c r="A1151" s="181"/>
      <c r="B1151" s="19" t="s">
        <v>82</v>
      </c>
      <c r="C1151" s="162">
        <v>425</v>
      </c>
      <c r="D1151" s="249">
        <v>1211</v>
      </c>
      <c r="E1151" s="126">
        <v>600</v>
      </c>
      <c r="F1151" s="126">
        <v>611</v>
      </c>
      <c r="G1151" s="10"/>
    </row>
    <row r="1152" spans="1:7" s="43" customFormat="1" ht="22.5" customHeight="1" x14ac:dyDescent="0.15">
      <c r="A1152" s="181"/>
      <c r="B1152" s="19" t="s">
        <v>83</v>
      </c>
      <c r="C1152" s="162">
        <v>480</v>
      </c>
      <c r="D1152" s="249">
        <v>1338</v>
      </c>
      <c r="E1152" s="126">
        <v>649</v>
      </c>
      <c r="F1152" s="126">
        <v>689</v>
      </c>
      <c r="G1152" s="10"/>
    </row>
    <row r="1153" spans="1:7" s="43" customFormat="1" ht="22.5" customHeight="1" x14ac:dyDescent="0.15">
      <c r="A1153" s="181"/>
      <c r="B1153" s="19" t="s">
        <v>84</v>
      </c>
      <c r="C1153" s="162">
        <v>362</v>
      </c>
      <c r="D1153" s="249">
        <v>1113</v>
      </c>
      <c r="E1153" s="126">
        <v>536</v>
      </c>
      <c r="F1153" s="126">
        <v>577</v>
      </c>
      <c r="G1153" s="10"/>
    </row>
    <row r="1154" spans="1:7" s="43" customFormat="1" ht="22.5" customHeight="1" x14ac:dyDescent="0.15">
      <c r="A1154" s="181"/>
      <c r="B1154" s="19" t="s">
        <v>85</v>
      </c>
      <c r="C1154" s="162">
        <v>542</v>
      </c>
      <c r="D1154" s="249">
        <v>1496</v>
      </c>
      <c r="E1154" s="126">
        <v>750</v>
      </c>
      <c r="F1154" s="126">
        <v>746</v>
      </c>
      <c r="G1154" s="10"/>
    </row>
    <row r="1155" spans="1:7" s="43" customFormat="1" ht="22.5" customHeight="1" x14ac:dyDescent="0.15">
      <c r="A1155" s="181"/>
      <c r="B1155" s="19" t="s">
        <v>87</v>
      </c>
      <c r="C1155" s="162">
        <v>322</v>
      </c>
      <c r="D1155" s="249">
        <v>931</v>
      </c>
      <c r="E1155" s="126">
        <v>456</v>
      </c>
      <c r="F1155" s="126">
        <v>475</v>
      </c>
      <c r="G1155" s="10"/>
    </row>
    <row r="1156" spans="1:7" s="43" customFormat="1" ht="22.5" customHeight="1" x14ac:dyDescent="0.15">
      <c r="A1156" s="181"/>
      <c r="B1156" s="19" t="s">
        <v>88</v>
      </c>
      <c r="C1156" s="162">
        <v>187</v>
      </c>
      <c r="D1156" s="249">
        <v>549</v>
      </c>
      <c r="E1156" s="126">
        <v>265</v>
      </c>
      <c r="F1156" s="126">
        <v>284</v>
      </c>
      <c r="G1156" s="10"/>
    </row>
    <row r="1157" spans="1:7" s="43" customFormat="1" ht="22.5" customHeight="1" x14ac:dyDescent="0.15">
      <c r="A1157" s="181"/>
      <c r="B1157" s="19" t="s">
        <v>89</v>
      </c>
      <c r="C1157" s="162">
        <v>494</v>
      </c>
      <c r="D1157" s="249">
        <v>581</v>
      </c>
      <c r="E1157" s="126">
        <v>380</v>
      </c>
      <c r="F1157" s="126">
        <v>201</v>
      </c>
      <c r="G1157" s="10"/>
    </row>
    <row r="1158" spans="1:7" s="43" customFormat="1" ht="22.5" customHeight="1" x14ac:dyDescent="0.15">
      <c r="A1158" s="181"/>
      <c r="B1158" s="19" t="s">
        <v>90</v>
      </c>
      <c r="C1158" s="162">
        <v>375</v>
      </c>
      <c r="D1158" s="249">
        <v>469</v>
      </c>
      <c r="E1158" s="126">
        <v>247</v>
      </c>
      <c r="F1158" s="126">
        <v>222</v>
      </c>
      <c r="G1158" s="10"/>
    </row>
    <row r="1159" spans="1:7" s="43" customFormat="1" ht="22.5" customHeight="1" x14ac:dyDescent="0.15">
      <c r="A1159" s="181"/>
      <c r="B1159" s="19" t="s">
        <v>91</v>
      </c>
      <c r="C1159" s="162">
        <v>318</v>
      </c>
      <c r="D1159" s="249">
        <v>927</v>
      </c>
      <c r="E1159" s="126">
        <v>456</v>
      </c>
      <c r="F1159" s="126">
        <v>471</v>
      </c>
      <c r="G1159" s="10"/>
    </row>
    <row r="1160" spans="1:7" s="43" customFormat="1" ht="22.5" customHeight="1" x14ac:dyDescent="0.15">
      <c r="A1160" s="181"/>
      <c r="B1160" s="20" t="s">
        <v>92</v>
      </c>
      <c r="C1160" s="162">
        <v>224</v>
      </c>
      <c r="D1160" s="249">
        <v>555</v>
      </c>
      <c r="E1160" s="126">
        <v>248</v>
      </c>
      <c r="F1160" s="126">
        <v>307</v>
      </c>
      <c r="G1160" s="12"/>
    </row>
    <row r="1161" spans="1:7" s="43" customFormat="1" ht="22.5" customHeight="1" x14ac:dyDescent="0.15">
      <c r="A1161" s="181"/>
      <c r="B1161" s="19" t="s">
        <v>93</v>
      </c>
      <c r="C1161" s="162">
        <v>262</v>
      </c>
      <c r="D1161" s="249">
        <v>677</v>
      </c>
      <c r="E1161" s="126">
        <v>319</v>
      </c>
      <c r="F1161" s="126">
        <v>358</v>
      </c>
      <c r="G1161" s="10"/>
    </row>
    <row r="1162" spans="1:7" s="43" customFormat="1" ht="22.5" customHeight="1" x14ac:dyDescent="0.15">
      <c r="A1162" s="181"/>
      <c r="B1162" s="19" t="s">
        <v>94</v>
      </c>
      <c r="C1162" s="162">
        <v>316</v>
      </c>
      <c r="D1162" s="249">
        <v>900</v>
      </c>
      <c r="E1162" s="126">
        <v>445</v>
      </c>
      <c r="F1162" s="126">
        <v>455</v>
      </c>
      <c r="G1162" s="10"/>
    </row>
    <row r="1163" spans="1:7" s="43" customFormat="1" ht="22.5" customHeight="1" x14ac:dyDescent="0.15">
      <c r="A1163" s="181"/>
      <c r="B1163" s="19" t="s">
        <v>95</v>
      </c>
      <c r="C1163" s="162">
        <v>408</v>
      </c>
      <c r="D1163" s="249">
        <v>475</v>
      </c>
      <c r="E1163" s="126">
        <v>300</v>
      </c>
      <c r="F1163" s="126">
        <v>175</v>
      </c>
      <c r="G1163" s="10"/>
    </row>
    <row r="1164" spans="1:7" s="43" customFormat="1" ht="22.5" customHeight="1" x14ac:dyDescent="0.15">
      <c r="A1164" s="181"/>
      <c r="B1164" s="21" t="s">
        <v>96</v>
      </c>
      <c r="C1164" s="162">
        <v>222</v>
      </c>
      <c r="D1164" s="249">
        <v>406</v>
      </c>
      <c r="E1164" s="126">
        <v>188</v>
      </c>
      <c r="F1164" s="126">
        <v>218</v>
      </c>
      <c r="G1164" s="15"/>
    </row>
    <row r="1165" spans="1:7" s="43" customFormat="1" ht="22.5" customHeight="1" x14ac:dyDescent="0.15">
      <c r="A1165" s="181"/>
      <c r="B1165" s="19" t="s">
        <v>97</v>
      </c>
      <c r="C1165" s="162">
        <v>310</v>
      </c>
      <c r="D1165" s="249">
        <v>617</v>
      </c>
      <c r="E1165" s="126">
        <v>287</v>
      </c>
      <c r="F1165" s="126">
        <v>330</v>
      </c>
      <c r="G1165" s="10"/>
    </row>
    <row r="1166" spans="1:7" s="43" customFormat="1" ht="22.5" customHeight="1" x14ac:dyDescent="0.15">
      <c r="A1166" s="181"/>
      <c r="B1166" s="19" t="s">
        <v>98</v>
      </c>
      <c r="C1166" s="162">
        <v>350</v>
      </c>
      <c r="D1166" s="249">
        <v>673</v>
      </c>
      <c r="E1166" s="126">
        <v>310</v>
      </c>
      <c r="F1166" s="126">
        <v>363</v>
      </c>
      <c r="G1166" s="10"/>
    </row>
    <row r="1167" spans="1:7" s="43" customFormat="1" ht="22.5" customHeight="1" x14ac:dyDescent="0.15">
      <c r="A1167" s="181"/>
      <c r="B1167" s="19" t="s">
        <v>99</v>
      </c>
      <c r="C1167" s="162">
        <v>375</v>
      </c>
      <c r="D1167" s="249">
        <v>802</v>
      </c>
      <c r="E1167" s="126">
        <v>357</v>
      </c>
      <c r="F1167" s="126">
        <v>445</v>
      </c>
      <c r="G1167" s="10"/>
    </row>
    <row r="1168" spans="1:7" s="43" customFormat="1" ht="22.5" customHeight="1" x14ac:dyDescent="0.15">
      <c r="A1168" s="181"/>
      <c r="B1168" s="19" t="s">
        <v>100</v>
      </c>
      <c r="C1168" s="162">
        <v>338</v>
      </c>
      <c r="D1168" s="249">
        <v>707</v>
      </c>
      <c r="E1168" s="126">
        <v>326</v>
      </c>
      <c r="F1168" s="126">
        <v>381</v>
      </c>
      <c r="G1168" s="10"/>
    </row>
    <row r="1169" spans="1:7" s="43" customFormat="1" ht="22.5" customHeight="1" x14ac:dyDescent="0.15">
      <c r="A1169" s="181"/>
      <c r="B1169" s="19" t="s">
        <v>101</v>
      </c>
      <c r="C1169" s="162">
        <v>289</v>
      </c>
      <c r="D1169" s="249">
        <v>680</v>
      </c>
      <c r="E1169" s="126">
        <v>340</v>
      </c>
      <c r="F1169" s="126">
        <v>340</v>
      </c>
      <c r="G1169" s="15"/>
    </row>
    <row r="1170" spans="1:7" s="43" customFormat="1" ht="22.5" customHeight="1" x14ac:dyDescent="0.15">
      <c r="A1170" s="181"/>
      <c r="B1170" s="19" t="s">
        <v>102</v>
      </c>
      <c r="C1170" s="162">
        <v>318</v>
      </c>
      <c r="D1170" s="249">
        <v>860</v>
      </c>
      <c r="E1170" s="126">
        <v>424</v>
      </c>
      <c r="F1170" s="126">
        <v>436</v>
      </c>
      <c r="G1170" s="15"/>
    </row>
    <row r="1171" spans="1:7" s="43" customFormat="1" ht="22.5" customHeight="1" x14ac:dyDescent="0.15">
      <c r="A1171" s="181"/>
      <c r="B1171" s="19" t="s">
        <v>103</v>
      </c>
      <c r="C1171" s="162">
        <v>229</v>
      </c>
      <c r="D1171" s="249">
        <v>622</v>
      </c>
      <c r="E1171" s="126">
        <v>308</v>
      </c>
      <c r="F1171" s="126">
        <v>314</v>
      </c>
      <c r="G1171" s="15"/>
    </row>
    <row r="1172" spans="1:7" s="43" customFormat="1" ht="22.5" customHeight="1" x14ac:dyDescent="0.15">
      <c r="A1172" s="181"/>
      <c r="B1172" s="21" t="s">
        <v>104</v>
      </c>
      <c r="C1172" s="162">
        <v>216</v>
      </c>
      <c r="D1172" s="249">
        <v>594</v>
      </c>
      <c r="E1172" s="126">
        <v>305</v>
      </c>
      <c r="F1172" s="126">
        <v>289</v>
      </c>
      <c r="G1172" s="15"/>
    </row>
    <row r="1173" spans="1:7" s="43" customFormat="1" ht="22.5" customHeight="1" x14ac:dyDescent="0.15">
      <c r="A1173" s="181"/>
      <c r="B1173" s="19" t="s">
        <v>105</v>
      </c>
      <c r="C1173" s="162">
        <v>544</v>
      </c>
      <c r="D1173" s="249">
        <v>650</v>
      </c>
      <c r="E1173" s="126">
        <v>435</v>
      </c>
      <c r="F1173" s="126">
        <v>215</v>
      </c>
      <c r="G1173" s="10"/>
    </row>
    <row r="1174" spans="1:7" s="43" customFormat="1" ht="22.5" customHeight="1" x14ac:dyDescent="0.15">
      <c r="A1174" s="181"/>
      <c r="B1174" s="19" t="s">
        <v>106</v>
      </c>
      <c r="C1174" s="162">
        <v>472</v>
      </c>
      <c r="D1174" s="249">
        <v>587</v>
      </c>
      <c r="E1174" s="126">
        <v>351</v>
      </c>
      <c r="F1174" s="126">
        <v>236</v>
      </c>
      <c r="G1174" s="15"/>
    </row>
    <row r="1175" spans="1:7" s="43" customFormat="1" ht="22.5" customHeight="1" x14ac:dyDescent="0.15">
      <c r="A1175" s="181"/>
      <c r="B1175" s="19" t="s">
        <v>107</v>
      </c>
      <c r="C1175" s="162">
        <v>228</v>
      </c>
      <c r="D1175" s="249">
        <v>673</v>
      </c>
      <c r="E1175" s="126">
        <v>340</v>
      </c>
      <c r="F1175" s="126">
        <v>333</v>
      </c>
      <c r="G1175" s="15"/>
    </row>
    <row r="1176" spans="1:7" s="43" customFormat="1" ht="22.5" customHeight="1" x14ac:dyDescent="0.15">
      <c r="A1176" s="181"/>
      <c r="B1176" s="19" t="s">
        <v>108</v>
      </c>
      <c r="C1176" s="162">
        <v>226</v>
      </c>
      <c r="D1176" s="249">
        <v>647</v>
      </c>
      <c r="E1176" s="126">
        <v>319</v>
      </c>
      <c r="F1176" s="126">
        <v>328</v>
      </c>
      <c r="G1176" s="15"/>
    </row>
    <row r="1177" spans="1:7" s="43" customFormat="1" ht="22.5" customHeight="1" x14ac:dyDescent="0.15">
      <c r="A1177" s="181"/>
      <c r="B1177" s="19" t="s">
        <v>123</v>
      </c>
      <c r="C1177" s="162">
        <v>982</v>
      </c>
      <c r="D1177" s="249">
        <v>1153</v>
      </c>
      <c r="E1177" s="126">
        <v>646</v>
      </c>
      <c r="F1177" s="126">
        <v>507</v>
      </c>
      <c r="G1177" s="15"/>
    </row>
    <row r="1178" spans="1:7" s="43" customFormat="1" ht="22.5" customHeight="1" x14ac:dyDescent="0.15">
      <c r="A1178" s="181"/>
      <c r="B1178" s="19" t="s">
        <v>109</v>
      </c>
      <c r="C1178" s="162">
        <v>1811</v>
      </c>
      <c r="D1178" s="249">
        <v>1977</v>
      </c>
      <c r="E1178" s="126">
        <v>1066</v>
      </c>
      <c r="F1178" s="126">
        <v>911</v>
      </c>
      <c r="G1178" s="15"/>
    </row>
    <row r="1179" spans="1:7" s="43" customFormat="1" ht="22.5" customHeight="1" x14ac:dyDescent="0.15">
      <c r="A1179" s="181"/>
      <c r="B1179" s="19" t="s">
        <v>110</v>
      </c>
      <c r="C1179" s="162">
        <v>247</v>
      </c>
      <c r="D1179" s="249">
        <v>717</v>
      </c>
      <c r="E1179" s="126">
        <v>359</v>
      </c>
      <c r="F1179" s="126">
        <v>358</v>
      </c>
      <c r="G1179" s="15"/>
    </row>
    <row r="1180" spans="1:7" s="43" customFormat="1" ht="22.5" customHeight="1" x14ac:dyDescent="0.15">
      <c r="A1180" s="181"/>
      <c r="B1180" s="19" t="s">
        <v>111</v>
      </c>
      <c r="C1180" s="162">
        <v>220</v>
      </c>
      <c r="D1180" s="249">
        <v>640</v>
      </c>
      <c r="E1180" s="126">
        <v>314</v>
      </c>
      <c r="F1180" s="126">
        <v>326</v>
      </c>
      <c r="G1180" s="15"/>
    </row>
    <row r="1181" spans="1:7" s="43" customFormat="1" ht="22.5" customHeight="1" x14ac:dyDescent="0.15">
      <c r="A1181" s="181"/>
      <c r="B1181" s="19" t="s">
        <v>127</v>
      </c>
      <c r="C1181" s="162">
        <v>369</v>
      </c>
      <c r="D1181" s="249">
        <v>413</v>
      </c>
      <c r="E1181" s="126">
        <v>229</v>
      </c>
      <c r="F1181" s="126">
        <v>184</v>
      </c>
      <c r="G1181" s="15"/>
    </row>
    <row r="1182" spans="1:7" s="43" customFormat="1" ht="22.5" customHeight="1" x14ac:dyDescent="0.15">
      <c r="A1182" s="181"/>
      <c r="B1182" s="19" t="s">
        <v>128</v>
      </c>
      <c r="C1182" s="162">
        <v>352</v>
      </c>
      <c r="D1182" s="249">
        <v>412</v>
      </c>
      <c r="E1182" s="126">
        <v>277</v>
      </c>
      <c r="F1182" s="126">
        <v>135</v>
      </c>
      <c r="G1182" s="15"/>
    </row>
    <row r="1183" spans="1:7" s="43" customFormat="1" ht="22.5" customHeight="1" x14ac:dyDescent="0.15">
      <c r="A1183" s="181"/>
      <c r="B1183" s="19" t="s">
        <v>112</v>
      </c>
      <c r="C1183" s="162">
        <v>520</v>
      </c>
      <c r="D1183" s="249">
        <v>1271</v>
      </c>
      <c r="E1183" s="126">
        <v>620</v>
      </c>
      <c r="F1183" s="126">
        <v>651</v>
      </c>
      <c r="G1183" s="15"/>
    </row>
    <row r="1184" spans="1:7" s="43" customFormat="1" ht="22.5" customHeight="1" x14ac:dyDescent="0.15">
      <c r="A1184" s="181"/>
      <c r="B1184" s="19" t="s">
        <v>113</v>
      </c>
      <c r="C1184" s="162">
        <v>439</v>
      </c>
      <c r="D1184" s="249">
        <v>1193</v>
      </c>
      <c r="E1184" s="126">
        <v>597</v>
      </c>
      <c r="F1184" s="126">
        <v>596</v>
      </c>
      <c r="G1184" s="15"/>
    </row>
    <row r="1185" spans="1:7" s="43" customFormat="1" ht="22.5" customHeight="1" x14ac:dyDescent="0.15">
      <c r="A1185" s="181"/>
      <c r="B1185" s="19" t="s">
        <v>114</v>
      </c>
      <c r="C1185" s="162">
        <v>1698</v>
      </c>
      <c r="D1185" s="249">
        <v>1850</v>
      </c>
      <c r="E1185" s="126">
        <v>987</v>
      </c>
      <c r="F1185" s="126">
        <v>863</v>
      </c>
      <c r="G1185" s="15"/>
    </row>
    <row r="1186" spans="1:7" s="43" customFormat="1" ht="22.5" customHeight="1" x14ac:dyDescent="0.15">
      <c r="A1186" s="181"/>
      <c r="B1186" s="19" t="s">
        <v>115</v>
      </c>
      <c r="C1186" s="162">
        <v>998</v>
      </c>
      <c r="D1186" s="249">
        <v>1190</v>
      </c>
      <c r="E1186" s="126">
        <v>668</v>
      </c>
      <c r="F1186" s="126">
        <v>522</v>
      </c>
      <c r="G1186" s="15"/>
    </row>
    <row r="1187" spans="1:7" s="43" customFormat="1" ht="22.5" customHeight="1" x14ac:dyDescent="0.15">
      <c r="A1187" s="181"/>
      <c r="B1187" s="19" t="s">
        <v>116</v>
      </c>
      <c r="C1187" s="162">
        <v>573</v>
      </c>
      <c r="D1187" s="249">
        <v>1312</v>
      </c>
      <c r="E1187" s="126">
        <v>689</v>
      </c>
      <c r="F1187" s="126">
        <v>623</v>
      </c>
      <c r="G1187" s="15"/>
    </row>
    <row r="1188" spans="1:7" s="43" customFormat="1" ht="22.5" customHeight="1" x14ac:dyDescent="0.15">
      <c r="A1188" s="181"/>
      <c r="B1188" s="19" t="s">
        <v>117</v>
      </c>
      <c r="C1188" s="162">
        <v>433</v>
      </c>
      <c r="D1188" s="249">
        <v>959</v>
      </c>
      <c r="E1188" s="126">
        <v>489</v>
      </c>
      <c r="F1188" s="126">
        <v>470</v>
      </c>
      <c r="G1188" s="10"/>
    </row>
    <row r="1189" spans="1:7" s="43" customFormat="1" ht="22.5" customHeight="1" x14ac:dyDescent="0.15">
      <c r="A1189" s="181"/>
      <c r="B1189" s="20" t="s">
        <v>118</v>
      </c>
      <c r="C1189" s="164">
        <v>405</v>
      </c>
      <c r="D1189" s="249">
        <v>898</v>
      </c>
      <c r="E1189" s="131">
        <v>435</v>
      </c>
      <c r="F1189" s="131">
        <v>463</v>
      </c>
      <c r="G1189" s="89"/>
    </row>
    <row r="1190" spans="1:7" s="43" customFormat="1" ht="22.5" customHeight="1" x14ac:dyDescent="0.15">
      <c r="A1190" s="181"/>
      <c r="B1190" s="20" t="s">
        <v>119</v>
      </c>
      <c r="C1190" s="164">
        <v>382</v>
      </c>
      <c r="D1190" s="249">
        <v>822</v>
      </c>
      <c r="E1190" s="131">
        <v>400</v>
      </c>
      <c r="F1190" s="131">
        <v>422</v>
      </c>
      <c r="G1190" s="89"/>
    </row>
    <row r="1191" spans="1:7" s="43" customFormat="1" ht="22.5" customHeight="1" x14ac:dyDescent="0.15">
      <c r="A1191" s="181"/>
      <c r="B1191" s="20" t="s">
        <v>120</v>
      </c>
      <c r="C1191" s="164">
        <v>554</v>
      </c>
      <c r="D1191" s="249">
        <v>1034</v>
      </c>
      <c r="E1191" s="131">
        <v>481</v>
      </c>
      <c r="F1191" s="131">
        <v>553</v>
      </c>
      <c r="G1191" s="89"/>
    </row>
    <row r="1192" spans="1:7" s="43" customFormat="1" ht="22.5" customHeight="1" x14ac:dyDescent="0.15">
      <c r="A1192" s="181"/>
      <c r="B1192" s="19" t="s">
        <v>121</v>
      </c>
      <c r="C1192" s="162">
        <v>452</v>
      </c>
      <c r="D1192" s="249">
        <v>1022</v>
      </c>
      <c r="E1192" s="126">
        <v>522</v>
      </c>
      <c r="F1192" s="126">
        <v>500</v>
      </c>
      <c r="G1192" s="10"/>
    </row>
    <row r="1193" spans="1:7" s="43" customFormat="1" ht="22.5" customHeight="1" x14ac:dyDescent="0.15">
      <c r="A1193" s="181"/>
      <c r="B1193" s="19" t="s">
        <v>122</v>
      </c>
      <c r="C1193" s="162">
        <v>465</v>
      </c>
      <c r="D1193" s="249">
        <v>1102</v>
      </c>
      <c r="E1193" s="126">
        <v>550</v>
      </c>
      <c r="F1193" s="126">
        <v>552</v>
      </c>
      <c r="G1193" s="10"/>
    </row>
    <row r="1194" spans="1:7" s="43" customFormat="1" ht="22.5" customHeight="1" x14ac:dyDescent="0.15">
      <c r="A1194" s="181"/>
      <c r="B1194" s="19" t="s">
        <v>124</v>
      </c>
      <c r="C1194" s="164">
        <v>466</v>
      </c>
      <c r="D1194" s="249">
        <v>953</v>
      </c>
      <c r="E1194" s="131">
        <v>459</v>
      </c>
      <c r="F1194" s="131">
        <v>494</v>
      </c>
      <c r="G1194" s="12"/>
    </row>
    <row r="1195" spans="1:7" s="43" customFormat="1" ht="22.5" customHeight="1" x14ac:dyDescent="0.15">
      <c r="A1195" s="181"/>
      <c r="B1195" s="19" t="s">
        <v>125</v>
      </c>
      <c r="C1195" s="164">
        <v>522</v>
      </c>
      <c r="D1195" s="249">
        <v>921</v>
      </c>
      <c r="E1195" s="131">
        <v>457</v>
      </c>
      <c r="F1195" s="131">
        <v>464</v>
      </c>
      <c r="G1195" s="12"/>
    </row>
    <row r="1196" spans="1:7" s="43" customFormat="1" ht="22.5" customHeight="1" x14ac:dyDescent="0.15">
      <c r="A1196" s="181"/>
      <c r="B1196" s="19" t="s">
        <v>126</v>
      </c>
      <c r="C1196" s="164">
        <v>536</v>
      </c>
      <c r="D1196" s="249">
        <v>1445</v>
      </c>
      <c r="E1196" s="131">
        <v>725</v>
      </c>
      <c r="F1196" s="131">
        <v>720</v>
      </c>
      <c r="G1196" s="12"/>
    </row>
    <row r="1197" spans="1:7" s="43" customFormat="1" ht="22.5" customHeight="1" x14ac:dyDescent="0.15">
      <c r="A1197" s="181"/>
      <c r="B1197" s="19" t="s">
        <v>198</v>
      </c>
      <c r="C1197" s="164">
        <v>501</v>
      </c>
      <c r="D1197" s="249">
        <v>1359</v>
      </c>
      <c r="E1197" s="131">
        <v>684</v>
      </c>
      <c r="F1197" s="131">
        <v>675</v>
      </c>
      <c r="G1197" s="12"/>
    </row>
    <row r="1198" spans="1:7" s="43" customFormat="1" ht="22.5" customHeight="1" x14ac:dyDescent="0.15">
      <c r="A1198" s="181"/>
      <c r="B1198" s="19" t="s">
        <v>199</v>
      </c>
      <c r="C1198" s="164">
        <v>381</v>
      </c>
      <c r="D1198" s="249">
        <v>462</v>
      </c>
      <c r="E1198" s="131">
        <v>303</v>
      </c>
      <c r="F1198" s="131">
        <v>159</v>
      </c>
      <c r="G1198" s="12"/>
    </row>
    <row r="1199" spans="1:7" s="43" customFormat="1" ht="22.5" customHeight="1" x14ac:dyDescent="0.15">
      <c r="A1199" s="181"/>
      <c r="B1199" s="19" t="s">
        <v>231</v>
      </c>
      <c r="C1199" s="164">
        <v>234</v>
      </c>
      <c r="D1199" s="249">
        <v>312</v>
      </c>
      <c r="E1199" s="131">
        <v>159</v>
      </c>
      <c r="F1199" s="131">
        <v>153</v>
      </c>
      <c r="G1199" s="12"/>
    </row>
    <row r="1200" spans="1:7" s="43" customFormat="1" ht="22.5" customHeight="1" x14ac:dyDescent="0.15">
      <c r="A1200" s="181"/>
      <c r="B1200" s="19" t="s">
        <v>319</v>
      </c>
      <c r="C1200" s="164">
        <v>235</v>
      </c>
      <c r="D1200" s="249">
        <v>319</v>
      </c>
      <c r="E1200" s="131">
        <v>187</v>
      </c>
      <c r="F1200" s="131">
        <v>132</v>
      </c>
      <c r="G1200" s="12"/>
    </row>
    <row r="1201" spans="1:7" s="43" customFormat="1" ht="22.5" customHeight="1" x14ac:dyDescent="0.15">
      <c r="A1201" s="181"/>
      <c r="B1201" s="19" t="s">
        <v>320</v>
      </c>
      <c r="C1201" s="164">
        <v>666</v>
      </c>
      <c r="D1201" s="249">
        <v>810</v>
      </c>
      <c r="E1201" s="131">
        <v>460</v>
      </c>
      <c r="F1201" s="131">
        <v>350</v>
      </c>
      <c r="G1201" s="12"/>
    </row>
    <row r="1202" spans="1:7" s="43" customFormat="1" ht="22.5" customHeight="1" x14ac:dyDescent="0.15">
      <c r="A1202" s="181"/>
      <c r="B1202" s="19" t="s">
        <v>491</v>
      </c>
      <c r="C1202" s="164">
        <v>261</v>
      </c>
      <c r="D1202" s="249">
        <v>665</v>
      </c>
      <c r="E1202" s="131">
        <v>340</v>
      </c>
      <c r="F1202" s="131">
        <v>325</v>
      </c>
      <c r="G1202" s="12"/>
    </row>
    <row r="1203" spans="1:7" s="43" customFormat="1" ht="22.5" customHeight="1" x14ac:dyDescent="0.15">
      <c r="A1203" s="181"/>
      <c r="B1203" s="19" t="s">
        <v>492</v>
      </c>
      <c r="C1203" s="164">
        <v>633</v>
      </c>
      <c r="D1203" s="249">
        <v>1696</v>
      </c>
      <c r="E1203" s="131">
        <v>846</v>
      </c>
      <c r="F1203" s="131">
        <v>850</v>
      </c>
      <c r="G1203" s="12"/>
    </row>
    <row r="1204" spans="1:7" s="43" customFormat="1" ht="22.5" customHeight="1" x14ac:dyDescent="0.15">
      <c r="A1204" s="181"/>
      <c r="B1204" s="19" t="s">
        <v>499</v>
      </c>
      <c r="C1204" s="164">
        <v>481</v>
      </c>
      <c r="D1204" s="249">
        <v>1301</v>
      </c>
      <c r="E1204" s="131">
        <v>627</v>
      </c>
      <c r="F1204" s="131">
        <v>674</v>
      </c>
      <c r="G1204" s="12"/>
    </row>
    <row r="1205" spans="1:7" s="43" customFormat="1" ht="22.5" customHeight="1" x14ac:dyDescent="0.15">
      <c r="A1205" s="181"/>
      <c r="B1205" s="19" t="s">
        <v>494</v>
      </c>
      <c r="C1205" s="164">
        <v>452</v>
      </c>
      <c r="D1205" s="249">
        <v>1268</v>
      </c>
      <c r="E1205" s="131">
        <v>649</v>
      </c>
      <c r="F1205" s="131">
        <v>619</v>
      </c>
      <c r="G1205" s="12"/>
    </row>
    <row r="1206" spans="1:7" s="43" customFormat="1" ht="22.5" customHeight="1" x14ac:dyDescent="0.15">
      <c r="A1206" s="181"/>
      <c r="B1206" s="19" t="s">
        <v>500</v>
      </c>
      <c r="C1206" s="169">
        <v>469</v>
      </c>
      <c r="D1206" s="249">
        <v>1209</v>
      </c>
      <c r="E1206" s="170">
        <v>618</v>
      </c>
      <c r="F1206" s="170">
        <v>591</v>
      </c>
      <c r="G1206" s="12"/>
    </row>
    <row r="1207" spans="1:7" s="43" customFormat="1" ht="22.5" customHeight="1" thickBot="1" x14ac:dyDescent="0.2">
      <c r="A1207" s="192"/>
      <c r="B1207" s="20" t="s">
        <v>496</v>
      </c>
      <c r="C1207" s="168">
        <v>504</v>
      </c>
      <c r="D1207" s="249">
        <v>1295</v>
      </c>
      <c r="E1207" s="135">
        <v>648</v>
      </c>
      <c r="F1207" s="135">
        <v>647</v>
      </c>
      <c r="G1207" s="23"/>
    </row>
    <row r="1208" spans="1:7" s="43" customFormat="1" ht="22.5" customHeight="1" thickTop="1" x14ac:dyDescent="0.15">
      <c r="A1208" s="84" t="s">
        <v>317</v>
      </c>
      <c r="B1208" s="7" t="s">
        <v>0</v>
      </c>
      <c r="C1208" s="124">
        <f>SUM(C1209:C1282)</f>
        <v>27882</v>
      </c>
      <c r="D1208" s="125">
        <f>SUM(D1209:D1282)</f>
        <v>63877</v>
      </c>
      <c r="E1208" s="124">
        <f>SUM(E1209:E1282)</f>
        <v>33856</v>
      </c>
      <c r="F1208" s="124">
        <f>SUM(F1209:F1282)</f>
        <v>30021</v>
      </c>
      <c r="G1208" s="8"/>
    </row>
    <row r="1209" spans="1:7" s="43" customFormat="1" ht="22.5" customHeight="1" x14ac:dyDescent="0.15">
      <c r="A1209" s="36"/>
      <c r="B1209" s="37" t="s">
        <v>86</v>
      </c>
      <c r="C1209" s="172">
        <v>507</v>
      </c>
      <c r="D1209" s="249">
        <v>755</v>
      </c>
      <c r="E1209" s="172">
        <v>414</v>
      </c>
      <c r="F1209" s="172">
        <v>341</v>
      </c>
      <c r="G1209" s="12"/>
    </row>
    <row r="1210" spans="1:7" s="43" customFormat="1" ht="22.5" customHeight="1" x14ac:dyDescent="0.15">
      <c r="A1210" s="36"/>
      <c r="B1210" s="38" t="s">
        <v>67</v>
      </c>
      <c r="C1210" s="172">
        <v>143</v>
      </c>
      <c r="D1210" s="249">
        <v>213</v>
      </c>
      <c r="E1210" s="172">
        <v>128</v>
      </c>
      <c r="F1210" s="172">
        <v>85</v>
      </c>
      <c r="G1210" s="10"/>
    </row>
    <row r="1211" spans="1:7" s="43" customFormat="1" ht="22.5" customHeight="1" x14ac:dyDescent="0.15">
      <c r="A1211" s="36"/>
      <c r="B1211" s="38" t="s">
        <v>68</v>
      </c>
      <c r="C1211" s="172">
        <v>402</v>
      </c>
      <c r="D1211" s="249">
        <v>488</v>
      </c>
      <c r="E1211" s="172">
        <v>365</v>
      </c>
      <c r="F1211" s="172">
        <v>123</v>
      </c>
      <c r="G1211" s="12"/>
    </row>
    <row r="1212" spans="1:7" s="43" customFormat="1" ht="22.5" customHeight="1" x14ac:dyDescent="0.15">
      <c r="A1212" s="36"/>
      <c r="B1212" s="38" t="s">
        <v>69</v>
      </c>
      <c r="C1212" s="172">
        <v>544</v>
      </c>
      <c r="D1212" s="249">
        <v>662</v>
      </c>
      <c r="E1212" s="172">
        <v>478</v>
      </c>
      <c r="F1212" s="172">
        <v>184</v>
      </c>
      <c r="G1212" s="10"/>
    </row>
    <row r="1213" spans="1:7" s="43" customFormat="1" ht="22.5" customHeight="1" x14ac:dyDescent="0.15">
      <c r="A1213" s="36"/>
      <c r="B1213" s="38" t="s">
        <v>70</v>
      </c>
      <c r="C1213" s="172">
        <v>380</v>
      </c>
      <c r="D1213" s="249">
        <v>433</v>
      </c>
      <c r="E1213" s="172">
        <v>337</v>
      </c>
      <c r="F1213" s="172">
        <v>96</v>
      </c>
      <c r="G1213" s="10"/>
    </row>
    <row r="1214" spans="1:7" s="43" customFormat="1" ht="22.5" customHeight="1" x14ac:dyDescent="0.15">
      <c r="A1214" s="36"/>
      <c r="B1214" s="38" t="s">
        <v>71</v>
      </c>
      <c r="C1214" s="172">
        <v>235</v>
      </c>
      <c r="D1214" s="249">
        <v>488</v>
      </c>
      <c r="E1214" s="172">
        <v>231</v>
      </c>
      <c r="F1214" s="172">
        <v>257</v>
      </c>
      <c r="G1214" s="12"/>
    </row>
    <row r="1215" spans="1:7" s="43" customFormat="1" ht="22.5" customHeight="1" x14ac:dyDescent="0.15">
      <c r="A1215" s="36"/>
      <c r="B1215" s="38" t="s">
        <v>72</v>
      </c>
      <c r="C1215" s="172">
        <v>216</v>
      </c>
      <c r="D1215" s="249">
        <v>431</v>
      </c>
      <c r="E1215" s="172">
        <v>210</v>
      </c>
      <c r="F1215" s="172">
        <v>221</v>
      </c>
      <c r="G1215" s="10"/>
    </row>
    <row r="1216" spans="1:7" s="43" customFormat="1" ht="22.5" customHeight="1" x14ac:dyDescent="0.15">
      <c r="A1216" s="36"/>
      <c r="B1216" s="38" t="s">
        <v>73</v>
      </c>
      <c r="C1216" s="172">
        <v>239</v>
      </c>
      <c r="D1216" s="249">
        <v>630</v>
      </c>
      <c r="E1216" s="172">
        <v>313</v>
      </c>
      <c r="F1216" s="172">
        <v>317</v>
      </c>
      <c r="G1216" s="10"/>
    </row>
    <row r="1217" spans="1:7" s="43" customFormat="1" ht="22.5" customHeight="1" x14ac:dyDescent="0.15">
      <c r="A1217" s="36"/>
      <c r="B1217" s="38" t="s">
        <v>74</v>
      </c>
      <c r="C1217" s="172">
        <v>402</v>
      </c>
      <c r="D1217" s="249">
        <v>470</v>
      </c>
      <c r="E1217" s="172">
        <v>349</v>
      </c>
      <c r="F1217" s="172">
        <v>121</v>
      </c>
      <c r="G1217" s="10"/>
    </row>
    <row r="1218" spans="1:7" s="43" customFormat="1" ht="22.5" customHeight="1" x14ac:dyDescent="0.15">
      <c r="A1218" s="36"/>
      <c r="B1218" s="38" t="s">
        <v>75</v>
      </c>
      <c r="C1218" s="172">
        <v>185</v>
      </c>
      <c r="D1218" s="249">
        <v>521</v>
      </c>
      <c r="E1218" s="172">
        <v>264</v>
      </c>
      <c r="F1218" s="172">
        <v>257</v>
      </c>
      <c r="G1218" s="10"/>
    </row>
    <row r="1219" spans="1:7" s="43" customFormat="1" ht="22.5" customHeight="1" x14ac:dyDescent="0.15">
      <c r="A1219" s="36"/>
      <c r="B1219" s="38" t="s">
        <v>76</v>
      </c>
      <c r="C1219" s="172">
        <v>393</v>
      </c>
      <c r="D1219" s="249">
        <v>1125</v>
      </c>
      <c r="E1219" s="172">
        <v>541</v>
      </c>
      <c r="F1219" s="172">
        <v>584</v>
      </c>
      <c r="G1219" s="10"/>
    </row>
    <row r="1220" spans="1:7" s="43" customFormat="1" ht="22.5" customHeight="1" x14ac:dyDescent="0.15">
      <c r="A1220" s="36"/>
      <c r="B1220" s="38" t="s">
        <v>77</v>
      </c>
      <c r="C1220" s="172">
        <v>416</v>
      </c>
      <c r="D1220" s="249">
        <v>458</v>
      </c>
      <c r="E1220" s="172">
        <v>342</v>
      </c>
      <c r="F1220" s="172">
        <v>116</v>
      </c>
      <c r="G1220" s="10"/>
    </row>
    <row r="1221" spans="1:7" s="43" customFormat="1" ht="22.5" customHeight="1" x14ac:dyDescent="0.15">
      <c r="A1221" s="36"/>
      <c r="B1221" s="38" t="s">
        <v>78</v>
      </c>
      <c r="C1221" s="172">
        <v>360</v>
      </c>
      <c r="D1221" s="249">
        <v>421</v>
      </c>
      <c r="E1221" s="172">
        <v>311</v>
      </c>
      <c r="F1221" s="172">
        <v>110</v>
      </c>
      <c r="G1221" s="10"/>
    </row>
    <row r="1222" spans="1:7" s="43" customFormat="1" ht="22.5" customHeight="1" x14ac:dyDescent="0.15">
      <c r="A1222" s="36"/>
      <c r="B1222" s="38" t="s">
        <v>79</v>
      </c>
      <c r="C1222" s="172">
        <v>600</v>
      </c>
      <c r="D1222" s="249">
        <v>744</v>
      </c>
      <c r="E1222" s="172">
        <v>480</v>
      </c>
      <c r="F1222" s="172">
        <v>264</v>
      </c>
      <c r="G1222" s="10"/>
    </row>
    <row r="1223" spans="1:7" s="43" customFormat="1" ht="22.5" customHeight="1" x14ac:dyDescent="0.15">
      <c r="A1223" s="36"/>
      <c r="B1223" s="38" t="s">
        <v>80</v>
      </c>
      <c r="C1223" s="172">
        <v>334</v>
      </c>
      <c r="D1223" s="249">
        <v>379</v>
      </c>
      <c r="E1223" s="172">
        <v>286</v>
      </c>
      <c r="F1223" s="172">
        <v>93</v>
      </c>
      <c r="G1223" s="10"/>
    </row>
    <row r="1224" spans="1:7" s="43" customFormat="1" ht="22.5" customHeight="1" x14ac:dyDescent="0.15">
      <c r="A1224" s="36"/>
      <c r="B1224" s="38" t="s">
        <v>81</v>
      </c>
      <c r="C1224" s="172">
        <v>443</v>
      </c>
      <c r="D1224" s="249">
        <v>543</v>
      </c>
      <c r="E1224" s="172">
        <v>355</v>
      </c>
      <c r="F1224" s="172">
        <v>188</v>
      </c>
      <c r="G1224" s="10"/>
    </row>
    <row r="1225" spans="1:7" s="43" customFormat="1" ht="22.5" customHeight="1" x14ac:dyDescent="0.15">
      <c r="A1225" s="36"/>
      <c r="B1225" s="38" t="s">
        <v>82</v>
      </c>
      <c r="C1225" s="172">
        <v>497</v>
      </c>
      <c r="D1225" s="249">
        <v>567</v>
      </c>
      <c r="E1225" s="172">
        <v>417</v>
      </c>
      <c r="F1225" s="172">
        <v>150</v>
      </c>
      <c r="G1225" s="10"/>
    </row>
    <row r="1226" spans="1:7" s="43" customFormat="1" ht="22.5" customHeight="1" x14ac:dyDescent="0.15">
      <c r="A1226" s="36"/>
      <c r="B1226" s="38" t="s">
        <v>83</v>
      </c>
      <c r="C1226" s="172">
        <v>474</v>
      </c>
      <c r="D1226" s="249">
        <v>554</v>
      </c>
      <c r="E1226" s="172">
        <v>362</v>
      </c>
      <c r="F1226" s="172">
        <v>192</v>
      </c>
      <c r="G1226" s="10"/>
    </row>
    <row r="1227" spans="1:7" s="43" customFormat="1" ht="22.5" customHeight="1" x14ac:dyDescent="0.15">
      <c r="A1227" s="36"/>
      <c r="B1227" s="38" t="s">
        <v>84</v>
      </c>
      <c r="C1227" s="172">
        <v>485</v>
      </c>
      <c r="D1227" s="249">
        <v>580</v>
      </c>
      <c r="E1227" s="172">
        <v>397</v>
      </c>
      <c r="F1227" s="172">
        <v>183</v>
      </c>
      <c r="G1227" s="10"/>
    </row>
    <row r="1228" spans="1:7" s="43" customFormat="1" ht="22.5" customHeight="1" x14ac:dyDescent="0.15">
      <c r="A1228" s="36"/>
      <c r="B1228" s="38" t="s">
        <v>85</v>
      </c>
      <c r="C1228" s="172">
        <v>387</v>
      </c>
      <c r="D1228" s="249">
        <v>857</v>
      </c>
      <c r="E1228" s="172">
        <v>377</v>
      </c>
      <c r="F1228" s="172">
        <v>480</v>
      </c>
      <c r="G1228" s="10"/>
    </row>
    <row r="1229" spans="1:7" s="43" customFormat="1" ht="22.5" customHeight="1" x14ac:dyDescent="0.15">
      <c r="A1229" s="36"/>
      <c r="B1229" s="38" t="s">
        <v>87</v>
      </c>
      <c r="C1229" s="172">
        <v>326</v>
      </c>
      <c r="D1229" s="249">
        <v>795</v>
      </c>
      <c r="E1229" s="172">
        <v>377</v>
      </c>
      <c r="F1229" s="172">
        <v>418</v>
      </c>
      <c r="G1229" s="10"/>
    </row>
    <row r="1230" spans="1:7" s="43" customFormat="1" ht="22.5" customHeight="1" x14ac:dyDescent="0.15">
      <c r="A1230" s="36"/>
      <c r="B1230" s="38" t="s">
        <v>88</v>
      </c>
      <c r="C1230" s="172">
        <v>324</v>
      </c>
      <c r="D1230" s="249">
        <v>792</v>
      </c>
      <c r="E1230" s="172">
        <v>395</v>
      </c>
      <c r="F1230" s="172">
        <v>397</v>
      </c>
      <c r="G1230" s="10"/>
    </row>
    <row r="1231" spans="1:7" s="43" customFormat="1" ht="22.5" customHeight="1" x14ac:dyDescent="0.15">
      <c r="A1231" s="36"/>
      <c r="B1231" s="38" t="s">
        <v>89</v>
      </c>
      <c r="C1231" s="172">
        <v>361</v>
      </c>
      <c r="D1231" s="249">
        <v>772</v>
      </c>
      <c r="E1231" s="172">
        <v>380</v>
      </c>
      <c r="F1231" s="172">
        <v>392</v>
      </c>
      <c r="G1231" s="10"/>
    </row>
    <row r="1232" spans="1:7" s="43" customFormat="1" ht="22.5" customHeight="1" x14ac:dyDescent="0.15">
      <c r="A1232" s="36"/>
      <c r="B1232" s="38" t="s">
        <v>90</v>
      </c>
      <c r="C1232" s="172">
        <v>374</v>
      </c>
      <c r="D1232" s="249">
        <v>1103</v>
      </c>
      <c r="E1232" s="172">
        <v>544</v>
      </c>
      <c r="F1232" s="172">
        <v>559</v>
      </c>
      <c r="G1232" s="10"/>
    </row>
    <row r="1233" spans="1:7" s="43" customFormat="1" ht="22.5" customHeight="1" x14ac:dyDescent="0.15">
      <c r="A1233" s="36"/>
      <c r="B1233" s="38" t="s">
        <v>91</v>
      </c>
      <c r="C1233" s="172">
        <v>308</v>
      </c>
      <c r="D1233" s="249">
        <v>922</v>
      </c>
      <c r="E1233" s="172">
        <v>450</v>
      </c>
      <c r="F1233" s="172">
        <v>472</v>
      </c>
      <c r="G1233" s="10"/>
    </row>
    <row r="1234" spans="1:7" s="43" customFormat="1" ht="22.5" customHeight="1" x14ac:dyDescent="0.15">
      <c r="A1234" s="36"/>
      <c r="B1234" s="38" t="s">
        <v>92</v>
      </c>
      <c r="C1234" s="172">
        <v>354</v>
      </c>
      <c r="D1234" s="249">
        <v>1062</v>
      </c>
      <c r="E1234" s="172">
        <v>517</v>
      </c>
      <c r="F1234" s="172">
        <v>545</v>
      </c>
      <c r="G1234" s="12"/>
    </row>
    <row r="1235" spans="1:7" s="43" customFormat="1" ht="22.5" customHeight="1" x14ac:dyDescent="0.15">
      <c r="A1235" s="36"/>
      <c r="B1235" s="38" t="s">
        <v>93</v>
      </c>
      <c r="C1235" s="172">
        <v>217</v>
      </c>
      <c r="D1235" s="249">
        <v>637</v>
      </c>
      <c r="E1235" s="172">
        <v>332</v>
      </c>
      <c r="F1235" s="172">
        <v>305</v>
      </c>
      <c r="G1235" s="10"/>
    </row>
    <row r="1236" spans="1:7" s="43" customFormat="1" ht="22.5" customHeight="1" x14ac:dyDescent="0.15">
      <c r="A1236" s="36"/>
      <c r="B1236" s="38" t="s">
        <v>94</v>
      </c>
      <c r="C1236" s="172">
        <v>243</v>
      </c>
      <c r="D1236" s="249">
        <v>753</v>
      </c>
      <c r="E1236" s="172">
        <v>354</v>
      </c>
      <c r="F1236" s="172">
        <v>399</v>
      </c>
      <c r="G1236" s="10"/>
    </row>
    <row r="1237" spans="1:7" s="43" customFormat="1" ht="22.5" customHeight="1" x14ac:dyDescent="0.15">
      <c r="A1237" s="36"/>
      <c r="B1237" s="38" t="s">
        <v>95</v>
      </c>
      <c r="C1237" s="172">
        <v>463</v>
      </c>
      <c r="D1237" s="249">
        <v>1325</v>
      </c>
      <c r="E1237" s="172">
        <v>673</v>
      </c>
      <c r="F1237" s="172">
        <v>652</v>
      </c>
      <c r="G1237" s="10"/>
    </row>
    <row r="1238" spans="1:7" s="43" customFormat="1" ht="22.5" customHeight="1" x14ac:dyDescent="0.15">
      <c r="A1238" s="36"/>
      <c r="B1238" s="38" t="s">
        <v>96</v>
      </c>
      <c r="C1238" s="172">
        <v>369</v>
      </c>
      <c r="D1238" s="249">
        <v>438</v>
      </c>
      <c r="E1238" s="172">
        <v>315</v>
      </c>
      <c r="F1238" s="172">
        <v>123</v>
      </c>
      <c r="G1238" s="15"/>
    </row>
    <row r="1239" spans="1:7" s="43" customFormat="1" ht="22.5" customHeight="1" x14ac:dyDescent="0.15">
      <c r="A1239" s="36"/>
      <c r="B1239" s="38" t="s">
        <v>97</v>
      </c>
      <c r="C1239" s="172">
        <v>380</v>
      </c>
      <c r="D1239" s="249">
        <v>1099</v>
      </c>
      <c r="E1239" s="172">
        <v>536</v>
      </c>
      <c r="F1239" s="172">
        <v>563</v>
      </c>
      <c r="G1239" s="10"/>
    </row>
    <row r="1240" spans="1:7" s="43" customFormat="1" ht="22.5" customHeight="1" x14ac:dyDescent="0.15">
      <c r="A1240" s="36"/>
      <c r="B1240" s="38" t="s">
        <v>98</v>
      </c>
      <c r="C1240" s="172">
        <v>92</v>
      </c>
      <c r="D1240" s="249">
        <v>126</v>
      </c>
      <c r="E1240" s="172">
        <v>46</v>
      </c>
      <c r="F1240" s="172">
        <v>80</v>
      </c>
      <c r="G1240" s="10"/>
    </row>
    <row r="1241" spans="1:7" s="43" customFormat="1" ht="22.5" customHeight="1" x14ac:dyDescent="0.15">
      <c r="A1241" s="36"/>
      <c r="B1241" s="38" t="s">
        <v>99</v>
      </c>
      <c r="C1241" s="172">
        <v>394</v>
      </c>
      <c r="D1241" s="249">
        <v>454</v>
      </c>
      <c r="E1241" s="172">
        <v>304</v>
      </c>
      <c r="F1241" s="172">
        <v>150</v>
      </c>
      <c r="G1241" s="10"/>
    </row>
    <row r="1242" spans="1:7" s="43" customFormat="1" ht="22.5" customHeight="1" x14ac:dyDescent="0.15">
      <c r="A1242" s="36"/>
      <c r="B1242" s="38" t="s">
        <v>100</v>
      </c>
      <c r="C1242" s="172">
        <v>264</v>
      </c>
      <c r="D1242" s="249">
        <v>798</v>
      </c>
      <c r="E1242" s="172">
        <v>416</v>
      </c>
      <c r="F1242" s="172">
        <v>382</v>
      </c>
      <c r="G1242" s="10"/>
    </row>
    <row r="1243" spans="1:7" s="43" customFormat="1" ht="22.5" customHeight="1" x14ac:dyDescent="0.15">
      <c r="A1243" s="36"/>
      <c r="B1243" s="38" t="s">
        <v>101</v>
      </c>
      <c r="C1243" s="172">
        <v>314</v>
      </c>
      <c r="D1243" s="249">
        <v>883</v>
      </c>
      <c r="E1243" s="172">
        <v>432</v>
      </c>
      <c r="F1243" s="172">
        <v>451</v>
      </c>
      <c r="G1243" s="15"/>
    </row>
    <row r="1244" spans="1:7" s="43" customFormat="1" ht="22.5" customHeight="1" x14ac:dyDescent="0.15">
      <c r="A1244" s="36"/>
      <c r="B1244" s="38" t="s">
        <v>102</v>
      </c>
      <c r="C1244" s="172">
        <v>394</v>
      </c>
      <c r="D1244" s="249">
        <v>494</v>
      </c>
      <c r="E1244" s="172">
        <v>314</v>
      </c>
      <c r="F1244" s="172">
        <v>180</v>
      </c>
      <c r="G1244" s="15"/>
    </row>
    <row r="1245" spans="1:7" s="43" customFormat="1" ht="22.5" customHeight="1" x14ac:dyDescent="0.15">
      <c r="A1245" s="36"/>
      <c r="B1245" s="38" t="s">
        <v>103</v>
      </c>
      <c r="C1245" s="172">
        <v>290</v>
      </c>
      <c r="D1245" s="249">
        <v>423</v>
      </c>
      <c r="E1245" s="172">
        <v>244</v>
      </c>
      <c r="F1245" s="172">
        <v>179</v>
      </c>
      <c r="G1245" s="15"/>
    </row>
    <row r="1246" spans="1:7" s="43" customFormat="1" ht="22.5" customHeight="1" x14ac:dyDescent="0.15">
      <c r="A1246" s="36"/>
      <c r="B1246" s="38" t="s">
        <v>104</v>
      </c>
      <c r="C1246" s="172">
        <v>228</v>
      </c>
      <c r="D1246" s="249">
        <v>288</v>
      </c>
      <c r="E1246" s="172">
        <v>173</v>
      </c>
      <c r="F1246" s="172">
        <v>115</v>
      </c>
      <c r="G1246" s="15"/>
    </row>
    <row r="1247" spans="1:7" s="43" customFormat="1" ht="22.5" customHeight="1" x14ac:dyDescent="0.15">
      <c r="A1247" s="36"/>
      <c r="B1247" s="38" t="s">
        <v>105</v>
      </c>
      <c r="C1247" s="172">
        <v>371</v>
      </c>
      <c r="D1247" s="249">
        <v>472</v>
      </c>
      <c r="E1247" s="172">
        <v>298</v>
      </c>
      <c r="F1247" s="172">
        <v>174</v>
      </c>
      <c r="G1247" s="10"/>
    </row>
    <row r="1248" spans="1:7" s="43" customFormat="1" ht="22.5" customHeight="1" x14ac:dyDescent="0.15">
      <c r="A1248" s="36"/>
      <c r="B1248" s="38" t="s">
        <v>106</v>
      </c>
      <c r="C1248" s="172">
        <v>398</v>
      </c>
      <c r="D1248" s="249">
        <v>1136</v>
      </c>
      <c r="E1248" s="172">
        <v>570</v>
      </c>
      <c r="F1248" s="172">
        <v>566</v>
      </c>
      <c r="G1248" s="15"/>
    </row>
    <row r="1249" spans="1:7" s="43" customFormat="1" ht="22.5" customHeight="1" x14ac:dyDescent="0.15">
      <c r="A1249" s="36"/>
      <c r="B1249" s="39" t="s">
        <v>107</v>
      </c>
      <c r="C1249" s="172">
        <v>433</v>
      </c>
      <c r="D1249" s="249">
        <v>1179</v>
      </c>
      <c r="E1249" s="172">
        <v>571</v>
      </c>
      <c r="F1249" s="172">
        <v>608</v>
      </c>
      <c r="G1249" s="15"/>
    </row>
    <row r="1250" spans="1:7" s="43" customFormat="1" ht="20.25" customHeight="1" x14ac:dyDescent="0.15">
      <c r="A1250" s="36"/>
      <c r="B1250" s="38" t="s">
        <v>108</v>
      </c>
      <c r="C1250" s="172">
        <v>238</v>
      </c>
      <c r="D1250" s="249">
        <v>716</v>
      </c>
      <c r="E1250" s="172">
        <v>361</v>
      </c>
      <c r="F1250" s="172">
        <v>355</v>
      </c>
      <c r="G1250" s="15"/>
    </row>
    <row r="1251" spans="1:7" s="43" customFormat="1" ht="22.5" customHeight="1" x14ac:dyDescent="0.15">
      <c r="A1251" s="36"/>
      <c r="B1251" s="38" t="s">
        <v>123</v>
      </c>
      <c r="C1251" s="172">
        <v>258</v>
      </c>
      <c r="D1251" s="249">
        <v>755</v>
      </c>
      <c r="E1251" s="172">
        <v>384</v>
      </c>
      <c r="F1251" s="172">
        <v>371</v>
      </c>
      <c r="G1251" s="15"/>
    </row>
    <row r="1252" spans="1:7" s="43" customFormat="1" ht="22.5" customHeight="1" x14ac:dyDescent="0.15">
      <c r="A1252" s="36"/>
      <c r="B1252" s="38" t="s">
        <v>109</v>
      </c>
      <c r="C1252" s="172">
        <v>257</v>
      </c>
      <c r="D1252" s="249">
        <v>663</v>
      </c>
      <c r="E1252" s="172">
        <v>333</v>
      </c>
      <c r="F1252" s="172">
        <v>330</v>
      </c>
      <c r="G1252" s="15"/>
    </row>
    <row r="1253" spans="1:7" s="43" customFormat="1" ht="22.5" customHeight="1" x14ac:dyDescent="0.15">
      <c r="A1253" s="36"/>
      <c r="B1253" s="38" t="s">
        <v>110</v>
      </c>
      <c r="C1253" s="172">
        <v>244</v>
      </c>
      <c r="D1253" s="249">
        <v>569</v>
      </c>
      <c r="E1253" s="172">
        <v>292</v>
      </c>
      <c r="F1253" s="172">
        <v>277</v>
      </c>
      <c r="G1253" s="15"/>
    </row>
    <row r="1254" spans="1:7" s="43" customFormat="1" ht="22.5" customHeight="1" x14ac:dyDescent="0.15">
      <c r="A1254" s="36"/>
      <c r="B1254" s="38" t="s">
        <v>111</v>
      </c>
      <c r="C1254" s="172">
        <v>232</v>
      </c>
      <c r="D1254" s="249">
        <v>455</v>
      </c>
      <c r="E1254" s="172">
        <v>233</v>
      </c>
      <c r="F1254" s="172">
        <v>222</v>
      </c>
      <c r="G1254" s="15"/>
    </row>
    <row r="1255" spans="1:7" s="43" customFormat="1" ht="22.5" customHeight="1" x14ac:dyDescent="0.15">
      <c r="A1255" s="36"/>
      <c r="B1255" s="38" t="s">
        <v>127</v>
      </c>
      <c r="C1255" s="172">
        <v>252</v>
      </c>
      <c r="D1255" s="249">
        <v>733</v>
      </c>
      <c r="E1255" s="172">
        <v>367</v>
      </c>
      <c r="F1255" s="172">
        <v>366</v>
      </c>
      <c r="G1255" s="15"/>
    </row>
    <row r="1256" spans="1:7" s="43" customFormat="1" ht="22.5" customHeight="1" x14ac:dyDescent="0.15">
      <c r="A1256" s="36"/>
      <c r="B1256" s="38" t="s">
        <v>128</v>
      </c>
      <c r="C1256" s="172">
        <v>243</v>
      </c>
      <c r="D1256" s="249">
        <v>730</v>
      </c>
      <c r="E1256" s="172">
        <v>368</v>
      </c>
      <c r="F1256" s="172">
        <v>362</v>
      </c>
      <c r="G1256" s="15"/>
    </row>
    <row r="1257" spans="1:7" s="43" customFormat="1" ht="22.5" customHeight="1" x14ac:dyDescent="0.15">
      <c r="A1257" s="36"/>
      <c r="B1257" s="38" t="s">
        <v>112</v>
      </c>
      <c r="C1257" s="172">
        <v>264</v>
      </c>
      <c r="D1257" s="249">
        <v>499</v>
      </c>
      <c r="E1257" s="172">
        <v>264</v>
      </c>
      <c r="F1257" s="172">
        <v>235</v>
      </c>
      <c r="G1257" s="15"/>
    </row>
    <row r="1258" spans="1:7" s="43" customFormat="1" ht="22.5" customHeight="1" x14ac:dyDescent="0.15">
      <c r="A1258" s="36"/>
      <c r="B1258" s="38" t="s">
        <v>113</v>
      </c>
      <c r="C1258" s="172">
        <v>310</v>
      </c>
      <c r="D1258" s="249">
        <v>921</v>
      </c>
      <c r="E1258" s="172">
        <v>464</v>
      </c>
      <c r="F1258" s="172">
        <v>457</v>
      </c>
      <c r="G1258" s="15"/>
    </row>
    <row r="1259" spans="1:7" s="43" customFormat="1" ht="22.5" customHeight="1" x14ac:dyDescent="0.15">
      <c r="A1259" s="36"/>
      <c r="B1259" s="38" t="s">
        <v>114</v>
      </c>
      <c r="C1259" s="172">
        <v>350</v>
      </c>
      <c r="D1259" s="249">
        <v>827</v>
      </c>
      <c r="E1259" s="172">
        <v>442</v>
      </c>
      <c r="F1259" s="172">
        <v>385</v>
      </c>
      <c r="G1259" s="15"/>
    </row>
    <row r="1260" spans="1:7" s="43" customFormat="1" ht="22.5" customHeight="1" x14ac:dyDescent="0.15">
      <c r="A1260" s="36"/>
      <c r="B1260" s="38" t="s">
        <v>115</v>
      </c>
      <c r="C1260" s="172">
        <v>275</v>
      </c>
      <c r="D1260" s="249">
        <v>742</v>
      </c>
      <c r="E1260" s="172">
        <v>385</v>
      </c>
      <c r="F1260" s="172">
        <v>357</v>
      </c>
      <c r="G1260" s="15"/>
    </row>
    <row r="1261" spans="1:7" s="43" customFormat="1" ht="22.5" customHeight="1" x14ac:dyDescent="0.15">
      <c r="A1261" s="36"/>
      <c r="B1261" s="38" t="s">
        <v>116</v>
      </c>
      <c r="C1261" s="172">
        <v>339</v>
      </c>
      <c r="D1261" s="249">
        <v>781</v>
      </c>
      <c r="E1261" s="172">
        <v>404</v>
      </c>
      <c r="F1261" s="172">
        <v>377</v>
      </c>
      <c r="G1261" s="15"/>
    </row>
    <row r="1262" spans="1:7" s="43" customFormat="1" ht="22.5" customHeight="1" x14ac:dyDescent="0.15">
      <c r="A1262" s="36"/>
      <c r="B1262" s="38" t="s">
        <v>117</v>
      </c>
      <c r="C1262" s="172">
        <v>307</v>
      </c>
      <c r="D1262" s="249">
        <v>725</v>
      </c>
      <c r="E1262" s="172">
        <v>374</v>
      </c>
      <c r="F1262" s="172">
        <v>351</v>
      </c>
      <c r="G1262" s="15"/>
    </row>
    <row r="1263" spans="1:7" s="43" customFormat="1" ht="22.5" customHeight="1" x14ac:dyDescent="0.15">
      <c r="A1263" s="36"/>
      <c r="B1263" s="38" t="s">
        <v>118</v>
      </c>
      <c r="C1263" s="172">
        <v>326</v>
      </c>
      <c r="D1263" s="249">
        <v>776</v>
      </c>
      <c r="E1263" s="172">
        <v>408</v>
      </c>
      <c r="F1263" s="172">
        <v>368</v>
      </c>
      <c r="G1263" s="15"/>
    </row>
    <row r="1264" spans="1:7" s="43" customFormat="1" ht="22.5" customHeight="1" x14ac:dyDescent="0.15">
      <c r="A1264" s="36"/>
      <c r="B1264" s="38" t="s">
        <v>119</v>
      </c>
      <c r="C1264" s="172">
        <v>305</v>
      </c>
      <c r="D1264" s="249">
        <v>717</v>
      </c>
      <c r="E1264" s="172">
        <v>371</v>
      </c>
      <c r="F1264" s="172">
        <v>346</v>
      </c>
      <c r="G1264" s="15"/>
    </row>
    <row r="1265" spans="1:7" s="43" customFormat="1" ht="22.5" customHeight="1" x14ac:dyDescent="0.15">
      <c r="A1265" s="36"/>
      <c r="B1265" s="38" t="s">
        <v>120</v>
      </c>
      <c r="C1265" s="172">
        <v>286</v>
      </c>
      <c r="D1265" s="249">
        <v>716</v>
      </c>
      <c r="E1265" s="172">
        <v>385</v>
      </c>
      <c r="F1265" s="172">
        <v>331</v>
      </c>
      <c r="G1265" s="15"/>
    </row>
    <row r="1266" spans="1:7" s="43" customFormat="1" ht="22.5" customHeight="1" x14ac:dyDescent="0.15">
      <c r="A1266" s="36"/>
      <c r="B1266" s="38" t="s">
        <v>121</v>
      </c>
      <c r="C1266" s="172">
        <v>509</v>
      </c>
      <c r="D1266" s="249">
        <v>1598</v>
      </c>
      <c r="E1266" s="172">
        <v>813</v>
      </c>
      <c r="F1266" s="172">
        <v>785</v>
      </c>
      <c r="G1266" s="15"/>
    </row>
    <row r="1267" spans="1:7" s="43" customFormat="1" ht="22.5" customHeight="1" x14ac:dyDescent="0.15">
      <c r="A1267" s="36"/>
      <c r="B1267" s="38" t="s">
        <v>122</v>
      </c>
      <c r="C1267" s="172">
        <v>455</v>
      </c>
      <c r="D1267" s="249">
        <v>1281</v>
      </c>
      <c r="E1267" s="172">
        <v>651</v>
      </c>
      <c r="F1267" s="172">
        <v>630</v>
      </c>
      <c r="G1267" s="15"/>
    </row>
    <row r="1268" spans="1:7" s="43" customFormat="1" ht="22.5" customHeight="1" x14ac:dyDescent="0.15">
      <c r="A1268" s="36"/>
      <c r="B1268" s="38" t="s">
        <v>124</v>
      </c>
      <c r="C1268" s="172">
        <v>623</v>
      </c>
      <c r="D1268" s="249">
        <v>1805</v>
      </c>
      <c r="E1268" s="172">
        <v>912</v>
      </c>
      <c r="F1268" s="172">
        <v>893</v>
      </c>
      <c r="G1268" s="15"/>
    </row>
    <row r="1269" spans="1:7" s="43" customFormat="1" ht="22.5" customHeight="1" x14ac:dyDescent="0.15">
      <c r="A1269" s="36"/>
      <c r="B1269" s="38" t="s">
        <v>125</v>
      </c>
      <c r="C1269" s="172">
        <v>555</v>
      </c>
      <c r="D1269" s="249">
        <v>1735</v>
      </c>
      <c r="E1269" s="172">
        <v>842</v>
      </c>
      <c r="F1269" s="172">
        <v>893</v>
      </c>
      <c r="G1269" s="15"/>
    </row>
    <row r="1270" spans="1:7" s="43" customFormat="1" ht="22.5" customHeight="1" x14ac:dyDescent="0.15">
      <c r="A1270" s="36"/>
      <c r="B1270" s="38" t="s">
        <v>126</v>
      </c>
      <c r="C1270" s="172">
        <v>520</v>
      </c>
      <c r="D1270" s="249">
        <v>1692</v>
      </c>
      <c r="E1270" s="172">
        <v>858</v>
      </c>
      <c r="F1270" s="172">
        <v>834</v>
      </c>
      <c r="G1270" s="15"/>
    </row>
    <row r="1271" spans="1:7" s="43" customFormat="1" ht="22.5" customHeight="1" x14ac:dyDescent="0.15">
      <c r="A1271" s="36"/>
      <c r="B1271" s="38" t="s">
        <v>198</v>
      </c>
      <c r="C1271" s="172">
        <v>557</v>
      </c>
      <c r="D1271" s="249">
        <v>1706</v>
      </c>
      <c r="E1271" s="172">
        <v>869</v>
      </c>
      <c r="F1271" s="172">
        <v>837</v>
      </c>
      <c r="G1271" s="15"/>
    </row>
    <row r="1272" spans="1:7" s="43" customFormat="1" ht="22.5" customHeight="1" x14ac:dyDescent="0.15">
      <c r="A1272" s="36"/>
      <c r="B1272" s="38" t="s">
        <v>199</v>
      </c>
      <c r="C1272" s="172">
        <v>516</v>
      </c>
      <c r="D1272" s="249">
        <v>1523</v>
      </c>
      <c r="E1272" s="172">
        <v>783</v>
      </c>
      <c r="F1272" s="172">
        <v>740</v>
      </c>
      <c r="G1272" s="15"/>
    </row>
    <row r="1273" spans="1:7" s="43" customFormat="1" ht="22.5" customHeight="1" x14ac:dyDescent="0.15">
      <c r="A1273" s="36"/>
      <c r="B1273" s="38" t="s">
        <v>318</v>
      </c>
      <c r="C1273" s="172">
        <v>528</v>
      </c>
      <c r="D1273" s="249">
        <v>1420</v>
      </c>
      <c r="E1273" s="172">
        <v>724</v>
      </c>
      <c r="F1273" s="172">
        <v>696</v>
      </c>
      <c r="G1273" s="15"/>
    </row>
    <row r="1274" spans="1:7" s="43" customFormat="1" ht="22.5" customHeight="1" x14ac:dyDescent="0.15">
      <c r="A1274" s="36"/>
      <c r="B1274" s="38" t="s">
        <v>319</v>
      </c>
      <c r="C1274" s="172">
        <v>527</v>
      </c>
      <c r="D1274" s="249">
        <v>1517</v>
      </c>
      <c r="E1274" s="172">
        <v>773</v>
      </c>
      <c r="F1274" s="172">
        <v>744</v>
      </c>
      <c r="G1274" s="15"/>
    </row>
    <row r="1275" spans="1:7" s="43" customFormat="1" ht="22.5" customHeight="1" x14ac:dyDescent="0.15">
      <c r="A1275" s="36"/>
      <c r="B1275" s="38" t="s">
        <v>320</v>
      </c>
      <c r="C1275" s="172">
        <v>533</v>
      </c>
      <c r="D1275" s="249">
        <v>1393</v>
      </c>
      <c r="E1275" s="172">
        <v>731</v>
      </c>
      <c r="F1275" s="172">
        <v>662</v>
      </c>
      <c r="G1275" s="10"/>
    </row>
    <row r="1276" spans="1:7" s="43" customFormat="1" ht="22.5" customHeight="1" x14ac:dyDescent="0.15">
      <c r="A1276" s="36"/>
      <c r="B1276" s="38" t="s">
        <v>491</v>
      </c>
      <c r="C1276" s="172">
        <v>530</v>
      </c>
      <c r="D1276" s="249">
        <v>744</v>
      </c>
      <c r="E1276" s="172">
        <v>438</v>
      </c>
      <c r="F1276" s="172">
        <v>306</v>
      </c>
      <c r="G1276" s="10"/>
    </row>
    <row r="1277" spans="1:7" s="43" customFormat="1" ht="22.5" customHeight="1" x14ac:dyDescent="0.15">
      <c r="A1277" s="36"/>
      <c r="B1277" s="38" t="s">
        <v>492</v>
      </c>
      <c r="C1277" s="172">
        <v>514</v>
      </c>
      <c r="D1277" s="249">
        <v>1619</v>
      </c>
      <c r="E1277" s="172">
        <v>812</v>
      </c>
      <c r="F1277" s="172">
        <v>807</v>
      </c>
      <c r="G1277" s="10"/>
    </row>
    <row r="1278" spans="1:7" s="43" customFormat="1" ht="22.5" customHeight="1" x14ac:dyDescent="0.15">
      <c r="A1278" s="36"/>
      <c r="B1278" s="38" t="s">
        <v>493</v>
      </c>
      <c r="C1278" s="172">
        <v>495</v>
      </c>
      <c r="D1278" s="249">
        <v>1523</v>
      </c>
      <c r="E1278" s="172">
        <v>756</v>
      </c>
      <c r="F1278" s="172">
        <v>767</v>
      </c>
      <c r="G1278" s="10"/>
    </row>
    <row r="1279" spans="1:7" s="43" customFormat="1" ht="22.5" customHeight="1" x14ac:dyDescent="0.15">
      <c r="A1279" s="36"/>
      <c r="B1279" s="38" t="s">
        <v>494</v>
      </c>
      <c r="C1279" s="172">
        <v>592</v>
      </c>
      <c r="D1279" s="249">
        <v>1739</v>
      </c>
      <c r="E1279" s="172">
        <v>872</v>
      </c>
      <c r="F1279" s="172">
        <v>867</v>
      </c>
      <c r="G1279" s="10"/>
    </row>
    <row r="1280" spans="1:7" s="43" customFormat="1" ht="22.5" customHeight="1" x14ac:dyDescent="0.15">
      <c r="A1280" s="36"/>
      <c r="B1280" s="38" t="s">
        <v>495</v>
      </c>
      <c r="C1280" s="172">
        <v>583</v>
      </c>
      <c r="D1280" s="249">
        <v>1771</v>
      </c>
      <c r="E1280" s="172">
        <v>890</v>
      </c>
      <c r="F1280" s="172">
        <v>881</v>
      </c>
      <c r="G1280" s="10"/>
    </row>
    <row r="1281" spans="1:7" s="43" customFormat="1" ht="22.5" customHeight="1" x14ac:dyDescent="0.15">
      <c r="A1281" s="36"/>
      <c r="B1281" s="38" t="s">
        <v>496</v>
      </c>
      <c r="C1281" s="172">
        <v>473</v>
      </c>
      <c r="D1281" s="249">
        <v>1298</v>
      </c>
      <c r="E1281" s="172">
        <v>643</v>
      </c>
      <c r="F1281" s="172">
        <v>655</v>
      </c>
      <c r="G1281" s="10"/>
    </row>
    <row r="1282" spans="1:7" s="43" customFormat="1" ht="22.5" customHeight="1" thickBot="1" x14ac:dyDescent="0.2">
      <c r="A1282" s="40"/>
      <c r="B1282" s="41" t="s">
        <v>497</v>
      </c>
      <c r="C1282" s="256">
        <v>347</v>
      </c>
      <c r="D1282" s="255">
        <v>918</v>
      </c>
      <c r="E1282" s="256">
        <v>456</v>
      </c>
      <c r="F1282" s="256">
        <v>462</v>
      </c>
      <c r="G1282" s="42"/>
    </row>
    <row r="1283" spans="1:7" s="43" customFormat="1" ht="22.5" customHeight="1" thickTop="1" x14ac:dyDescent="0.15">
      <c r="A1283" s="99" t="s">
        <v>321</v>
      </c>
      <c r="D1283" s="44"/>
    </row>
    <row r="1284" spans="1:7" s="43" customFormat="1" ht="22.5" customHeight="1" x14ac:dyDescent="0.15">
      <c r="D1284" s="44"/>
    </row>
  </sheetData>
  <mergeCells count="39">
    <mergeCell ref="A1134:A1207"/>
    <mergeCell ref="A1094:A1133"/>
    <mergeCell ref="A896:A921"/>
    <mergeCell ref="A922:A976"/>
    <mergeCell ref="A977:A1005"/>
    <mergeCell ref="A1007:A1052"/>
    <mergeCell ref="A1053:A1093"/>
    <mergeCell ref="A678:A722"/>
    <mergeCell ref="A723:A783"/>
    <mergeCell ref="A784:A828"/>
    <mergeCell ref="A866:A895"/>
    <mergeCell ref="A829:A865"/>
    <mergeCell ref="A380:A409"/>
    <mergeCell ref="A410:A471"/>
    <mergeCell ref="A605:A677"/>
    <mergeCell ref="A542:A603"/>
    <mergeCell ref="A472:A541"/>
    <mergeCell ref="A271:A291"/>
    <mergeCell ref="A292:A307"/>
    <mergeCell ref="A311:A328"/>
    <mergeCell ref="A329:A349"/>
    <mergeCell ref="A350:A379"/>
    <mergeCell ref="A7:A59"/>
    <mergeCell ref="A60:A91"/>
    <mergeCell ref="A127:A149"/>
    <mergeCell ref="A150:A154"/>
    <mergeCell ref="A92:A126"/>
    <mergeCell ref="A1:G1"/>
    <mergeCell ref="F2:G2"/>
    <mergeCell ref="A3:A4"/>
    <mergeCell ref="B3:B4"/>
    <mergeCell ref="C3:C4"/>
    <mergeCell ref="D3:F3"/>
    <mergeCell ref="G3:G4"/>
    <mergeCell ref="A155:A178"/>
    <mergeCell ref="A179:A184"/>
    <mergeCell ref="A185:A204"/>
    <mergeCell ref="A205:A245"/>
    <mergeCell ref="A246:A270"/>
  </mergeCells>
  <phoneticPr fontId="3" type="noConversion"/>
  <pageMargins left="0.51181102362204722" right="0.31496062992125984" top="0.55118110236220474" bottom="0.26" header="0.31496062992125984" footer="0.1574803149606299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G226"/>
  <sheetViews>
    <sheetView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H1" sqref="H1"/>
    </sheetView>
  </sheetViews>
  <sheetFormatPr defaultRowHeight="22.5" customHeight="1" x14ac:dyDescent="0.15"/>
  <cols>
    <col min="1" max="1" width="13.33203125" style="76" customWidth="1"/>
    <col min="2" max="2" width="14.5546875" style="76" customWidth="1"/>
    <col min="3" max="3" width="12.44140625" style="76" customWidth="1"/>
    <col min="4" max="4" width="11.6640625" style="78" customWidth="1"/>
    <col min="5" max="6" width="10.44140625" style="76" customWidth="1"/>
    <col min="7" max="7" width="9.6640625" style="76" customWidth="1"/>
    <col min="8" max="256" width="8.88671875" style="76"/>
    <col min="257" max="257" width="13.33203125" style="76" customWidth="1"/>
    <col min="258" max="258" width="14.5546875" style="76" customWidth="1"/>
    <col min="259" max="259" width="12.44140625" style="76" customWidth="1"/>
    <col min="260" max="260" width="11.6640625" style="76" customWidth="1"/>
    <col min="261" max="262" width="10.44140625" style="76" customWidth="1"/>
    <col min="263" max="263" width="9.6640625" style="76" customWidth="1"/>
    <col min="264" max="512" width="8.88671875" style="76"/>
    <col min="513" max="513" width="13.33203125" style="76" customWidth="1"/>
    <col min="514" max="514" width="14.5546875" style="76" customWidth="1"/>
    <col min="515" max="515" width="12.44140625" style="76" customWidth="1"/>
    <col min="516" max="516" width="11.6640625" style="76" customWidth="1"/>
    <col min="517" max="518" width="10.44140625" style="76" customWidth="1"/>
    <col min="519" max="519" width="9.6640625" style="76" customWidth="1"/>
    <col min="520" max="768" width="8.88671875" style="76"/>
    <col min="769" max="769" width="13.33203125" style="76" customWidth="1"/>
    <col min="770" max="770" width="14.5546875" style="76" customWidth="1"/>
    <col min="771" max="771" width="12.44140625" style="76" customWidth="1"/>
    <col min="772" max="772" width="11.6640625" style="76" customWidth="1"/>
    <col min="773" max="774" width="10.44140625" style="76" customWidth="1"/>
    <col min="775" max="775" width="9.6640625" style="76" customWidth="1"/>
    <col min="776" max="1024" width="8.88671875" style="76"/>
    <col min="1025" max="1025" width="13.33203125" style="76" customWidth="1"/>
    <col min="1026" max="1026" width="14.5546875" style="76" customWidth="1"/>
    <col min="1027" max="1027" width="12.44140625" style="76" customWidth="1"/>
    <col min="1028" max="1028" width="11.6640625" style="76" customWidth="1"/>
    <col min="1029" max="1030" width="10.44140625" style="76" customWidth="1"/>
    <col min="1031" max="1031" width="9.6640625" style="76" customWidth="1"/>
    <col min="1032" max="1280" width="8.88671875" style="76"/>
    <col min="1281" max="1281" width="13.33203125" style="76" customWidth="1"/>
    <col min="1282" max="1282" width="14.5546875" style="76" customWidth="1"/>
    <col min="1283" max="1283" width="12.44140625" style="76" customWidth="1"/>
    <col min="1284" max="1284" width="11.6640625" style="76" customWidth="1"/>
    <col min="1285" max="1286" width="10.44140625" style="76" customWidth="1"/>
    <col min="1287" max="1287" width="9.6640625" style="76" customWidth="1"/>
    <col min="1288" max="1536" width="8.88671875" style="76"/>
    <col min="1537" max="1537" width="13.33203125" style="76" customWidth="1"/>
    <col min="1538" max="1538" width="14.5546875" style="76" customWidth="1"/>
    <col min="1539" max="1539" width="12.44140625" style="76" customWidth="1"/>
    <col min="1540" max="1540" width="11.6640625" style="76" customWidth="1"/>
    <col min="1541" max="1542" width="10.44140625" style="76" customWidth="1"/>
    <col min="1543" max="1543" width="9.6640625" style="76" customWidth="1"/>
    <col min="1544" max="1792" width="8.88671875" style="76"/>
    <col min="1793" max="1793" width="13.33203125" style="76" customWidth="1"/>
    <col min="1794" max="1794" width="14.5546875" style="76" customWidth="1"/>
    <col min="1795" max="1795" width="12.44140625" style="76" customWidth="1"/>
    <col min="1796" max="1796" width="11.6640625" style="76" customWidth="1"/>
    <col min="1797" max="1798" width="10.44140625" style="76" customWidth="1"/>
    <col min="1799" max="1799" width="9.6640625" style="76" customWidth="1"/>
    <col min="1800" max="2048" width="8.88671875" style="76"/>
    <col min="2049" max="2049" width="13.33203125" style="76" customWidth="1"/>
    <col min="2050" max="2050" width="14.5546875" style="76" customWidth="1"/>
    <col min="2051" max="2051" width="12.44140625" style="76" customWidth="1"/>
    <col min="2052" max="2052" width="11.6640625" style="76" customWidth="1"/>
    <col min="2053" max="2054" width="10.44140625" style="76" customWidth="1"/>
    <col min="2055" max="2055" width="9.6640625" style="76" customWidth="1"/>
    <col min="2056" max="2304" width="8.88671875" style="76"/>
    <col min="2305" max="2305" width="13.33203125" style="76" customWidth="1"/>
    <col min="2306" max="2306" width="14.5546875" style="76" customWidth="1"/>
    <col min="2307" max="2307" width="12.44140625" style="76" customWidth="1"/>
    <col min="2308" max="2308" width="11.6640625" style="76" customWidth="1"/>
    <col min="2309" max="2310" width="10.44140625" style="76" customWidth="1"/>
    <col min="2311" max="2311" width="9.6640625" style="76" customWidth="1"/>
    <col min="2312" max="2560" width="8.88671875" style="76"/>
    <col min="2561" max="2561" width="13.33203125" style="76" customWidth="1"/>
    <col min="2562" max="2562" width="14.5546875" style="76" customWidth="1"/>
    <col min="2563" max="2563" width="12.44140625" style="76" customWidth="1"/>
    <col min="2564" max="2564" width="11.6640625" style="76" customWidth="1"/>
    <col min="2565" max="2566" width="10.44140625" style="76" customWidth="1"/>
    <col min="2567" max="2567" width="9.6640625" style="76" customWidth="1"/>
    <col min="2568" max="2816" width="8.88671875" style="76"/>
    <col min="2817" max="2817" width="13.33203125" style="76" customWidth="1"/>
    <col min="2818" max="2818" width="14.5546875" style="76" customWidth="1"/>
    <col min="2819" max="2819" width="12.44140625" style="76" customWidth="1"/>
    <col min="2820" max="2820" width="11.6640625" style="76" customWidth="1"/>
    <col min="2821" max="2822" width="10.44140625" style="76" customWidth="1"/>
    <col min="2823" max="2823" width="9.6640625" style="76" customWidth="1"/>
    <col min="2824" max="3072" width="8.88671875" style="76"/>
    <col min="3073" max="3073" width="13.33203125" style="76" customWidth="1"/>
    <col min="3074" max="3074" width="14.5546875" style="76" customWidth="1"/>
    <col min="3075" max="3075" width="12.44140625" style="76" customWidth="1"/>
    <col min="3076" max="3076" width="11.6640625" style="76" customWidth="1"/>
    <col min="3077" max="3078" width="10.44140625" style="76" customWidth="1"/>
    <col min="3079" max="3079" width="9.6640625" style="76" customWidth="1"/>
    <col min="3080" max="3328" width="8.88671875" style="76"/>
    <col min="3329" max="3329" width="13.33203125" style="76" customWidth="1"/>
    <col min="3330" max="3330" width="14.5546875" style="76" customWidth="1"/>
    <col min="3331" max="3331" width="12.44140625" style="76" customWidth="1"/>
    <col min="3332" max="3332" width="11.6640625" style="76" customWidth="1"/>
    <col min="3333" max="3334" width="10.44140625" style="76" customWidth="1"/>
    <col min="3335" max="3335" width="9.6640625" style="76" customWidth="1"/>
    <col min="3336" max="3584" width="8.88671875" style="76"/>
    <col min="3585" max="3585" width="13.33203125" style="76" customWidth="1"/>
    <col min="3586" max="3586" width="14.5546875" style="76" customWidth="1"/>
    <col min="3587" max="3587" width="12.44140625" style="76" customWidth="1"/>
    <col min="3588" max="3588" width="11.6640625" style="76" customWidth="1"/>
    <col min="3589" max="3590" width="10.44140625" style="76" customWidth="1"/>
    <col min="3591" max="3591" width="9.6640625" style="76" customWidth="1"/>
    <col min="3592" max="3840" width="8.88671875" style="76"/>
    <col min="3841" max="3841" width="13.33203125" style="76" customWidth="1"/>
    <col min="3842" max="3842" width="14.5546875" style="76" customWidth="1"/>
    <col min="3843" max="3843" width="12.44140625" style="76" customWidth="1"/>
    <col min="3844" max="3844" width="11.6640625" style="76" customWidth="1"/>
    <col min="3845" max="3846" width="10.44140625" style="76" customWidth="1"/>
    <col min="3847" max="3847" width="9.6640625" style="76" customWidth="1"/>
    <col min="3848" max="4096" width="8.88671875" style="76"/>
    <col min="4097" max="4097" width="13.33203125" style="76" customWidth="1"/>
    <col min="4098" max="4098" width="14.5546875" style="76" customWidth="1"/>
    <col min="4099" max="4099" width="12.44140625" style="76" customWidth="1"/>
    <col min="4100" max="4100" width="11.6640625" style="76" customWidth="1"/>
    <col min="4101" max="4102" width="10.44140625" style="76" customWidth="1"/>
    <col min="4103" max="4103" width="9.6640625" style="76" customWidth="1"/>
    <col min="4104" max="4352" width="8.88671875" style="76"/>
    <col min="4353" max="4353" width="13.33203125" style="76" customWidth="1"/>
    <col min="4354" max="4354" width="14.5546875" style="76" customWidth="1"/>
    <col min="4355" max="4355" width="12.44140625" style="76" customWidth="1"/>
    <col min="4356" max="4356" width="11.6640625" style="76" customWidth="1"/>
    <col min="4357" max="4358" width="10.44140625" style="76" customWidth="1"/>
    <col min="4359" max="4359" width="9.6640625" style="76" customWidth="1"/>
    <col min="4360" max="4608" width="8.88671875" style="76"/>
    <col min="4609" max="4609" width="13.33203125" style="76" customWidth="1"/>
    <col min="4610" max="4610" width="14.5546875" style="76" customWidth="1"/>
    <col min="4611" max="4611" width="12.44140625" style="76" customWidth="1"/>
    <col min="4612" max="4612" width="11.6640625" style="76" customWidth="1"/>
    <col min="4613" max="4614" width="10.44140625" style="76" customWidth="1"/>
    <col min="4615" max="4615" width="9.6640625" style="76" customWidth="1"/>
    <col min="4616" max="4864" width="8.88671875" style="76"/>
    <col min="4865" max="4865" width="13.33203125" style="76" customWidth="1"/>
    <col min="4866" max="4866" width="14.5546875" style="76" customWidth="1"/>
    <col min="4867" max="4867" width="12.44140625" style="76" customWidth="1"/>
    <col min="4868" max="4868" width="11.6640625" style="76" customWidth="1"/>
    <col min="4869" max="4870" width="10.44140625" style="76" customWidth="1"/>
    <col min="4871" max="4871" width="9.6640625" style="76" customWidth="1"/>
    <col min="4872" max="5120" width="8.88671875" style="76"/>
    <col min="5121" max="5121" width="13.33203125" style="76" customWidth="1"/>
    <col min="5122" max="5122" width="14.5546875" style="76" customWidth="1"/>
    <col min="5123" max="5123" width="12.44140625" style="76" customWidth="1"/>
    <col min="5124" max="5124" width="11.6640625" style="76" customWidth="1"/>
    <col min="5125" max="5126" width="10.44140625" style="76" customWidth="1"/>
    <col min="5127" max="5127" width="9.6640625" style="76" customWidth="1"/>
    <col min="5128" max="5376" width="8.88671875" style="76"/>
    <col min="5377" max="5377" width="13.33203125" style="76" customWidth="1"/>
    <col min="5378" max="5378" width="14.5546875" style="76" customWidth="1"/>
    <col min="5379" max="5379" width="12.44140625" style="76" customWidth="1"/>
    <col min="5380" max="5380" width="11.6640625" style="76" customWidth="1"/>
    <col min="5381" max="5382" width="10.44140625" style="76" customWidth="1"/>
    <col min="5383" max="5383" width="9.6640625" style="76" customWidth="1"/>
    <col min="5384" max="5632" width="8.88671875" style="76"/>
    <col min="5633" max="5633" width="13.33203125" style="76" customWidth="1"/>
    <col min="5634" max="5634" width="14.5546875" style="76" customWidth="1"/>
    <col min="5635" max="5635" width="12.44140625" style="76" customWidth="1"/>
    <col min="5636" max="5636" width="11.6640625" style="76" customWidth="1"/>
    <col min="5637" max="5638" width="10.44140625" style="76" customWidth="1"/>
    <col min="5639" max="5639" width="9.6640625" style="76" customWidth="1"/>
    <col min="5640" max="5888" width="8.88671875" style="76"/>
    <col min="5889" max="5889" width="13.33203125" style="76" customWidth="1"/>
    <col min="5890" max="5890" width="14.5546875" style="76" customWidth="1"/>
    <col min="5891" max="5891" width="12.44140625" style="76" customWidth="1"/>
    <col min="5892" max="5892" width="11.6640625" style="76" customWidth="1"/>
    <col min="5893" max="5894" width="10.44140625" style="76" customWidth="1"/>
    <col min="5895" max="5895" width="9.6640625" style="76" customWidth="1"/>
    <col min="5896" max="6144" width="8.88671875" style="76"/>
    <col min="6145" max="6145" width="13.33203125" style="76" customWidth="1"/>
    <col min="6146" max="6146" width="14.5546875" style="76" customWidth="1"/>
    <col min="6147" max="6147" width="12.44140625" style="76" customWidth="1"/>
    <col min="6148" max="6148" width="11.6640625" style="76" customWidth="1"/>
    <col min="6149" max="6150" width="10.44140625" style="76" customWidth="1"/>
    <col min="6151" max="6151" width="9.6640625" style="76" customWidth="1"/>
    <col min="6152" max="6400" width="8.88671875" style="76"/>
    <col min="6401" max="6401" width="13.33203125" style="76" customWidth="1"/>
    <col min="6402" max="6402" width="14.5546875" style="76" customWidth="1"/>
    <col min="6403" max="6403" width="12.44140625" style="76" customWidth="1"/>
    <col min="6404" max="6404" width="11.6640625" style="76" customWidth="1"/>
    <col min="6405" max="6406" width="10.44140625" style="76" customWidth="1"/>
    <col min="6407" max="6407" width="9.6640625" style="76" customWidth="1"/>
    <col min="6408" max="6656" width="8.88671875" style="76"/>
    <col min="6657" max="6657" width="13.33203125" style="76" customWidth="1"/>
    <col min="6658" max="6658" width="14.5546875" style="76" customWidth="1"/>
    <col min="6659" max="6659" width="12.44140625" style="76" customWidth="1"/>
    <col min="6660" max="6660" width="11.6640625" style="76" customWidth="1"/>
    <col min="6661" max="6662" width="10.44140625" style="76" customWidth="1"/>
    <col min="6663" max="6663" width="9.6640625" style="76" customWidth="1"/>
    <col min="6664" max="6912" width="8.88671875" style="76"/>
    <col min="6913" max="6913" width="13.33203125" style="76" customWidth="1"/>
    <col min="6914" max="6914" width="14.5546875" style="76" customWidth="1"/>
    <col min="6915" max="6915" width="12.44140625" style="76" customWidth="1"/>
    <col min="6916" max="6916" width="11.6640625" style="76" customWidth="1"/>
    <col min="6917" max="6918" width="10.44140625" style="76" customWidth="1"/>
    <col min="6919" max="6919" width="9.6640625" style="76" customWidth="1"/>
    <col min="6920" max="7168" width="8.88671875" style="76"/>
    <col min="7169" max="7169" width="13.33203125" style="76" customWidth="1"/>
    <col min="7170" max="7170" width="14.5546875" style="76" customWidth="1"/>
    <col min="7171" max="7171" width="12.44140625" style="76" customWidth="1"/>
    <col min="7172" max="7172" width="11.6640625" style="76" customWidth="1"/>
    <col min="7173" max="7174" width="10.44140625" style="76" customWidth="1"/>
    <col min="7175" max="7175" width="9.6640625" style="76" customWidth="1"/>
    <col min="7176" max="7424" width="8.88671875" style="76"/>
    <col min="7425" max="7425" width="13.33203125" style="76" customWidth="1"/>
    <col min="7426" max="7426" width="14.5546875" style="76" customWidth="1"/>
    <col min="7427" max="7427" width="12.44140625" style="76" customWidth="1"/>
    <col min="7428" max="7428" width="11.6640625" style="76" customWidth="1"/>
    <col min="7429" max="7430" width="10.44140625" style="76" customWidth="1"/>
    <col min="7431" max="7431" width="9.6640625" style="76" customWidth="1"/>
    <col min="7432" max="7680" width="8.88671875" style="76"/>
    <col min="7681" max="7681" width="13.33203125" style="76" customWidth="1"/>
    <col min="7682" max="7682" width="14.5546875" style="76" customWidth="1"/>
    <col min="7683" max="7683" width="12.44140625" style="76" customWidth="1"/>
    <col min="7684" max="7684" width="11.6640625" style="76" customWidth="1"/>
    <col min="7685" max="7686" width="10.44140625" style="76" customWidth="1"/>
    <col min="7687" max="7687" width="9.6640625" style="76" customWidth="1"/>
    <col min="7688" max="7936" width="8.88671875" style="76"/>
    <col min="7937" max="7937" width="13.33203125" style="76" customWidth="1"/>
    <col min="7938" max="7938" width="14.5546875" style="76" customWidth="1"/>
    <col min="7939" max="7939" width="12.44140625" style="76" customWidth="1"/>
    <col min="7940" max="7940" width="11.6640625" style="76" customWidth="1"/>
    <col min="7941" max="7942" width="10.44140625" style="76" customWidth="1"/>
    <col min="7943" max="7943" width="9.6640625" style="76" customWidth="1"/>
    <col min="7944" max="8192" width="8.88671875" style="76"/>
    <col min="8193" max="8193" width="13.33203125" style="76" customWidth="1"/>
    <col min="8194" max="8194" width="14.5546875" style="76" customWidth="1"/>
    <col min="8195" max="8195" width="12.44140625" style="76" customWidth="1"/>
    <col min="8196" max="8196" width="11.6640625" style="76" customWidth="1"/>
    <col min="8197" max="8198" width="10.44140625" style="76" customWidth="1"/>
    <col min="8199" max="8199" width="9.6640625" style="76" customWidth="1"/>
    <col min="8200" max="8448" width="8.88671875" style="76"/>
    <col min="8449" max="8449" width="13.33203125" style="76" customWidth="1"/>
    <col min="8450" max="8450" width="14.5546875" style="76" customWidth="1"/>
    <col min="8451" max="8451" width="12.44140625" style="76" customWidth="1"/>
    <col min="8452" max="8452" width="11.6640625" style="76" customWidth="1"/>
    <col min="8453" max="8454" width="10.44140625" style="76" customWidth="1"/>
    <col min="8455" max="8455" width="9.6640625" style="76" customWidth="1"/>
    <col min="8456" max="8704" width="8.88671875" style="76"/>
    <col min="8705" max="8705" width="13.33203125" style="76" customWidth="1"/>
    <col min="8706" max="8706" width="14.5546875" style="76" customWidth="1"/>
    <col min="8707" max="8707" width="12.44140625" style="76" customWidth="1"/>
    <col min="8708" max="8708" width="11.6640625" style="76" customWidth="1"/>
    <col min="8709" max="8710" width="10.44140625" style="76" customWidth="1"/>
    <col min="8711" max="8711" width="9.6640625" style="76" customWidth="1"/>
    <col min="8712" max="8960" width="8.88671875" style="76"/>
    <col min="8961" max="8961" width="13.33203125" style="76" customWidth="1"/>
    <col min="8962" max="8962" width="14.5546875" style="76" customWidth="1"/>
    <col min="8963" max="8963" width="12.44140625" style="76" customWidth="1"/>
    <col min="8964" max="8964" width="11.6640625" style="76" customWidth="1"/>
    <col min="8965" max="8966" width="10.44140625" style="76" customWidth="1"/>
    <col min="8967" max="8967" width="9.6640625" style="76" customWidth="1"/>
    <col min="8968" max="9216" width="8.88671875" style="76"/>
    <col min="9217" max="9217" width="13.33203125" style="76" customWidth="1"/>
    <col min="9218" max="9218" width="14.5546875" style="76" customWidth="1"/>
    <col min="9219" max="9219" width="12.44140625" style="76" customWidth="1"/>
    <col min="9220" max="9220" width="11.6640625" style="76" customWidth="1"/>
    <col min="9221" max="9222" width="10.44140625" style="76" customWidth="1"/>
    <col min="9223" max="9223" width="9.6640625" style="76" customWidth="1"/>
    <col min="9224" max="9472" width="8.88671875" style="76"/>
    <col min="9473" max="9473" width="13.33203125" style="76" customWidth="1"/>
    <col min="9474" max="9474" width="14.5546875" style="76" customWidth="1"/>
    <col min="9475" max="9475" width="12.44140625" style="76" customWidth="1"/>
    <col min="9476" max="9476" width="11.6640625" style="76" customWidth="1"/>
    <col min="9477" max="9478" width="10.44140625" style="76" customWidth="1"/>
    <col min="9479" max="9479" width="9.6640625" style="76" customWidth="1"/>
    <col min="9480" max="9728" width="8.88671875" style="76"/>
    <col min="9729" max="9729" width="13.33203125" style="76" customWidth="1"/>
    <col min="9730" max="9730" width="14.5546875" style="76" customWidth="1"/>
    <col min="9731" max="9731" width="12.44140625" style="76" customWidth="1"/>
    <col min="9732" max="9732" width="11.6640625" style="76" customWidth="1"/>
    <col min="9733" max="9734" width="10.44140625" style="76" customWidth="1"/>
    <col min="9735" max="9735" width="9.6640625" style="76" customWidth="1"/>
    <col min="9736" max="9984" width="8.88671875" style="76"/>
    <col min="9985" max="9985" width="13.33203125" style="76" customWidth="1"/>
    <col min="9986" max="9986" width="14.5546875" style="76" customWidth="1"/>
    <col min="9987" max="9987" width="12.44140625" style="76" customWidth="1"/>
    <col min="9988" max="9988" width="11.6640625" style="76" customWidth="1"/>
    <col min="9989" max="9990" width="10.44140625" style="76" customWidth="1"/>
    <col min="9991" max="9991" width="9.6640625" style="76" customWidth="1"/>
    <col min="9992" max="10240" width="8.88671875" style="76"/>
    <col min="10241" max="10241" width="13.33203125" style="76" customWidth="1"/>
    <col min="10242" max="10242" width="14.5546875" style="76" customWidth="1"/>
    <col min="10243" max="10243" width="12.44140625" style="76" customWidth="1"/>
    <col min="10244" max="10244" width="11.6640625" style="76" customWidth="1"/>
    <col min="10245" max="10246" width="10.44140625" style="76" customWidth="1"/>
    <col min="10247" max="10247" width="9.6640625" style="76" customWidth="1"/>
    <col min="10248" max="10496" width="8.88671875" style="76"/>
    <col min="10497" max="10497" width="13.33203125" style="76" customWidth="1"/>
    <col min="10498" max="10498" width="14.5546875" style="76" customWidth="1"/>
    <col min="10499" max="10499" width="12.44140625" style="76" customWidth="1"/>
    <col min="10500" max="10500" width="11.6640625" style="76" customWidth="1"/>
    <col min="10501" max="10502" width="10.44140625" style="76" customWidth="1"/>
    <col min="10503" max="10503" width="9.6640625" style="76" customWidth="1"/>
    <col min="10504" max="10752" width="8.88671875" style="76"/>
    <col min="10753" max="10753" width="13.33203125" style="76" customWidth="1"/>
    <col min="10754" max="10754" width="14.5546875" style="76" customWidth="1"/>
    <col min="10755" max="10755" width="12.44140625" style="76" customWidth="1"/>
    <col min="10756" max="10756" width="11.6640625" style="76" customWidth="1"/>
    <col min="10757" max="10758" width="10.44140625" style="76" customWidth="1"/>
    <col min="10759" max="10759" width="9.6640625" style="76" customWidth="1"/>
    <col min="10760" max="11008" width="8.88671875" style="76"/>
    <col min="11009" max="11009" width="13.33203125" style="76" customWidth="1"/>
    <col min="11010" max="11010" width="14.5546875" style="76" customWidth="1"/>
    <col min="11011" max="11011" width="12.44140625" style="76" customWidth="1"/>
    <col min="11012" max="11012" width="11.6640625" style="76" customWidth="1"/>
    <col min="11013" max="11014" width="10.44140625" style="76" customWidth="1"/>
    <col min="11015" max="11015" width="9.6640625" style="76" customWidth="1"/>
    <col min="11016" max="11264" width="8.88671875" style="76"/>
    <col min="11265" max="11265" width="13.33203125" style="76" customWidth="1"/>
    <col min="11266" max="11266" width="14.5546875" style="76" customWidth="1"/>
    <col min="11267" max="11267" width="12.44140625" style="76" customWidth="1"/>
    <col min="11268" max="11268" width="11.6640625" style="76" customWidth="1"/>
    <col min="11269" max="11270" width="10.44140625" style="76" customWidth="1"/>
    <col min="11271" max="11271" width="9.6640625" style="76" customWidth="1"/>
    <col min="11272" max="11520" width="8.88671875" style="76"/>
    <col min="11521" max="11521" width="13.33203125" style="76" customWidth="1"/>
    <col min="11522" max="11522" width="14.5546875" style="76" customWidth="1"/>
    <col min="11523" max="11523" width="12.44140625" style="76" customWidth="1"/>
    <col min="11524" max="11524" width="11.6640625" style="76" customWidth="1"/>
    <col min="11525" max="11526" width="10.44140625" style="76" customWidth="1"/>
    <col min="11527" max="11527" width="9.6640625" style="76" customWidth="1"/>
    <col min="11528" max="11776" width="8.88671875" style="76"/>
    <col min="11777" max="11777" width="13.33203125" style="76" customWidth="1"/>
    <col min="11778" max="11778" width="14.5546875" style="76" customWidth="1"/>
    <col min="11779" max="11779" width="12.44140625" style="76" customWidth="1"/>
    <col min="11780" max="11780" width="11.6640625" style="76" customWidth="1"/>
    <col min="11781" max="11782" width="10.44140625" style="76" customWidth="1"/>
    <col min="11783" max="11783" width="9.6640625" style="76" customWidth="1"/>
    <col min="11784" max="12032" width="8.88671875" style="76"/>
    <col min="12033" max="12033" width="13.33203125" style="76" customWidth="1"/>
    <col min="12034" max="12034" width="14.5546875" style="76" customWidth="1"/>
    <col min="12035" max="12035" width="12.44140625" style="76" customWidth="1"/>
    <col min="12036" max="12036" width="11.6640625" style="76" customWidth="1"/>
    <col min="12037" max="12038" width="10.44140625" style="76" customWidth="1"/>
    <col min="12039" max="12039" width="9.6640625" style="76" customWidth="1"/>
    <col min="12040" max="12288" width="8.88671875" style="76"/>
    <col min="12289" max="12289" width="13.33203125" style="76" customWidth="1"/>
    <col min="12290" max="12290" width="14.5546875" style="76" customWidth="1"/>
    <col min="12291" max="12291" width="12.44140625" style="76" customWidth="1"/>
    <col min="12292" max="12292" width="11.6640625" style="76" customWidth="1"/>
    <col min="12293" max="12294" width="10.44140625" style="76" customWidth="1"/>
    <col min="12295" max="12295" width="9.6640625" style="76" customWidth="1"/>
    <col min="12296" max="12544" width="8.88671875" style="76"/>
    <col min="12545" max="12545" width="13.33203125" style="76" customWidth="1"/>
    <col min="12546" max="12546" width="14.5546875" style="76" customWidth="1"/>
    <col min="12547" max="12547" width="12.44140625" style="76" customWidth="1"/>
    <col min="12548" max="12548" width="11.6640625" style="76" customWidth="1"/>
    <col min="12549" max="12550" width="10.44140625" style="76" customWidth="1"/>
    <col min="12551" max="12551" width="9.6640625" style="76" customWidth="1"/>
    <col min="12552" max="12800" width="8.88671875" style="76"/>
    <col min="12801" max="12801" width="13.33203125" style="76" customWidth="1"/>
    <col min="12802" max="12802" width="14.5546875" style="76" customWidth="1"/>
    <col min="12803" max="12803" width="12.44140625" style="76" customWidth="1"/>
    <col min="12804" max="12804" width="11.6640625" style="76" customWidth="1"/>
    <col min="12805" max="12806" width="10.44140625" style="76" customWidth="1"/>
    <col min="12807" max="12807" width="9.6640625" style="76" customWidth="1"/>
    <col min="12808" max="13056" width="8.88671875" style="76"/>
    <col min="13057" max="13057" width="13.33203125" style="76" customWidth="1"/>
    <col min="13058" max="13058" width="14.5546875" style="76" customWidth="1"/>
    <col min="13059" max="13059" width="12.44140625" style="76" customWidth="1"/>
    <col min="13060" max="13060" width="11.6640625" style="76" customWidth="1"/>
    <col min="13061" max="13062" width="10.44140625" style="76" customWidth="1"/>
    <col min="13063" max="13063" width="9.6640625" style="76" customWidth="1"/>
    <col min="13064" max="13312" width="8.88671875" style="76"/>
    <col min="13313" max="13313" width="13.33203125" style="76" customWidth="1"/>
    <col min="13314" max="13314" width="14.5546875" style="76" customWidth="1"/>
    <col min="13315" max="13315" width="12.44140625" style="76" customWidth="1"/>
    <col min="13316" max="13316" width="11.6640625" style="76" customWidth="1"/>
    <col min="13317" max="13318" width="10.44140625" style="76" customWidth="1"/>
    <col min="13319" max="13319" width="9.6640625" style="76" customWidth="1"/>
    <col min="13320" max="13568" width="8.88671875" style="76"/>
    <col min="13569" max="13569" width="13.33203125" style="76" customWidth="1"/>
    <col min="13570" max="13570" width="14.5546875" style="76" customWidth="1"/>
    <col min="13571" max="13571" width="12.44140625" style="76" customWidth="1"/>
    <col min="13572" max="13572" width="11.6640625" style="76" customWidth="1"/>
    <col min="13573" max="13574" width="10.44140625" style="76" customWidth="1"/>
    <col min="13575" max="13575" width="9.6640625" style="76" customWidth="1"/>
    <col min="13576" max="13824" width="8.88671875" style="76"/>
    <col min="13825" max="13825" width="13.33203125" style="76" customWidth="1"/>
    <col min="13826" max="13826" width="14.5546875" style="76" customWidth="1"/>
    <col min="13827" max="13827" width="12.44140625" style="76" customWidth="1"/>
    <col min="13828" max="13828" width="11.6640625" style="76" customWidth="1"/>
    <col min="13829" max="13830" width="10.44140625" style="76" customWidth="1"/>
    <col min="13831" max="13831" width="9.6640625" style="76" customWidth="1"/>
    <col min="13832" max="14080" width="8.88671875" style="76"/>
    <col min="14081" max="14081" width="13.33203125" style="76" customWidth="1"/>
    <col min="14082" max="14082" width="14.5546875" style="76" customWidth="1"/>
    <col min="14083" max="14083" width="12.44140625" style="76" customWidth="1"/>
    <col min="14084" max="14084" width="11.6640625" style="76" customWidth="1"/>
    <col min="14085" max="14086" width="10.44140625" style="76" customWidth="1"/>
    <col min="14087" max="14087" width="9.6640625" style="76" customWidth="1"/>
    <col min="14088" max="14336" width="8.88671875" style="76"/>
    <col min="14337" max="14337" width="13.33203125" style="76" customWidth="1"/>
    <col min="14338" max="14338" width="14.5546875" style="76" customWidth="1"/>
    <col min="14339" max="14339" width="12.44140625" style="76" customWidth="1"/>
    <col min="14340" max="14340" width="11.6640625" style="76" customWidth="1"/>
    <col min="14341" max="14342" width="10.44140625" style="76" customWidth="1"/>
    <col min="14343" max="14343" width="9.6640625" style="76" customWidth="1"/>
    <col min="14344" max="14592" width="8.88671875" style="76"/>
    <col min="14593" max="14593" width="13.33203125" style="76" customWidth="1"/>
    <col min="14594" max="14594" width="14.5546875" style="76" customWidth="1"/>
    <col min="14595" max="14595" width="12.44140625" style="76" customWidth="1"/>
    <col min="14596" max="14596" width="11.6640625" style="76" customWidth="1"/>
    <col min="14597" max="14598" width="10.44140625" style="76" customWidth="1"/>
    <col min="14599" max="14599" width="9.6640625" style="76" customWidth="1"/>
    <col min="14600" max="14848" width="8.88671875" style="76"/>
    <col min="14849" max="14849" width="13.33203125" style="76" customWidth="1"/>
    <col min="14850" max="14850" width="14.5546875" style="76" customWidth="1"/>
    <col min="14851" max="14851" width="12.44140625" style="76" customWidth="1"/>
    <col min="14852" max="14852" width="11.6640625" style="76" customWidth="1"/>
    <col min="14853" max="14854" width="10.44140625" style="76" customWidth="1"/>
    <col min="14855" max="14855" width="9.6640625" style="76" customWidth="1"/>
    <col min="14856" max="15104" width="8.88671875" style="76"/>
    <col min="15105" max="15105" width="13.33203125" style="76" customWidth="1"/>
    <col min="15106" max="15106" width="14.5546875" style="76" customWidth="1"/>
    <col min="15107" max="15107" width="12.44140625" style="76" customWidth="1"/>
    <col min="15108" max="15108" width="11.6640625" style="76" customWidth="1"/>
    <col min="15109" max="15110" width="10.44140625" style="76" customWidth="1"/>
    <col min="15111" max="15111" width="9.6640625" style="76" customWidth="1"/>
    <col min="15112" max="15360" width="8.88671875" style="76"/>
    <col min="15361" max="15361" width="13.33203125" style="76" customWidth="1"/>
    <col min="15362" max="15362" width="14.5546875" style="76" customWidth="1"/>
    <col min="15363" max="15363" width="12.44140625" style="76" customWidth="1"/>
    <col min="15364" max="15364" width="11.6640625" style="76" customWidth="1"/>
    <col min="15365" max="15366" width="10.44140625" style="76" customWidth="1"/>
    <col min="15367" max="15367" width="9.6640625" style="76" customWidth="1"/>
    <col min="15368" max="15616" width="8.88671875" style="76"/>
    <col min="15617" max="15617" width="13.33203125" style="76" customWidth="1"/>
    <col min="15618" max="15618" width="14.5546875" style="76" customWidth="1"/>
    <col min="15619" max="15619" width="12.44140625" style="76" customWidth="1"/>
    <col min="15620" max="15620" width="11.6640625" style="76" customWidth="1"/>
    <col min="15621" max="15622" width="10.44140625" style="76" customWidth="1"/>
    <col min="15623" max="15623" width="9.6640625" style="76" customWidth="1"/>
    <col min="15624" max="15872" width="8.88671875" style="76"/>
    <col min="15873" max="15873" width="13.33203125" style="76" customWidth="1"/>
    <col min="15874" max="15874" width="14.5546875" style="76" customWidth="1"/>
    <col min="15875" max="15875" width="12.44140625" style="76" customWidth="1"/>
    <col min="15876" max="15876" width="11.6640625" style="76" customWidth="1"/>
    <col min="15877" max="15878" width="10.44140625" style="76" customWidth="1"/>
    <col min="15879" max="15879" width="9.6640625" style="76" customWidth="1"/>
    <col min="15880" max="16128" width="8.88671875" style="76"/>
    <col min="16129" max="16129" width="13.33203125" style="76" customWidth="1"/>
    <col min="16130" max="16130" width="14.5546875" style="76" customWidth="1"/>
    <col min="16131" max="16131" width="12.44140625" style="76" customWidth="1"/>
    <col min="16132" max="16132" width="11.6640625" style="76" customWidth="1"/>
    <col min="16133" max="16134" width="10.44140625" style="76" customWidth="1"/>
    <col min="16135" max="16135" width="9.6640625" style="76" customWidth="1"/>
    <col min="16136" max="16384" width="8.88671875" style="76"/>
  </cols>
  <sheetData>
    <row r="1" spans="1:7" ht="48" customHeight="1" x14ac:dyDescent="0.15">
      <c r="A1" s="207" t="s">
        <v>234</v>
      </c>
      <c r="B1" s="207"/>
      <c r="C1" s="207"/>
      <c r="D1" s="207"/>
      <c r="E1" s="207"/>
      <c r="F1" s="207"/>
      <c r="G1" s="207"/>
    </row>
    <row r="2" spans="1:7" ht="23.25" customHeight="1" thickBot="1" x14ac:dyDescent="0.2">
      <c r="A2" s="100"/>
      <c r="B2" s="101"/>
      <c r="C2" s="101"/>
      <c r="D2" s="102"/>
      <c r="E2" s="101"/>
      <c r="F2" s="185" t="s">
        <v>787</v>
      </c>
      <c r="G2" s="185"/>
    </row>
    <row r="3" spans="1:7" ht="27" customHeight="1" thickTop="1" x14ac:dyDescent="0.15">
      <c r="A3" s="208" t="s">
        <v>322</v>
      </c>
      <c r="B3" s="210" t="s">
        <v>323</v>
      </c>
      <c r="C3" s="210" t="s">
        <v>260</v>
      </c>
      <c r="D3" s="210" t="s">
        <v>261</v>
      </c>
      <c r="E3" s="210"/>
      <c r="F3" s="210"/>
      <c r="G3" s="212" t="s">
        <v>262</v>
      </c>
    </row>
    <row r="4" spans="1:7" ht="27" customHeight="1" thickBot="1" x14ac:dyDescent="0.2">
      <c r="A4" s="209"/>
      <c r="B4" s="211"/>
      <c r="C4" s="211"/>
      <c r="D4" s="45" t="s">
        <v>0</v>
      </c>
      <c r="E4" s="103" t="s">
        <v>1</v>
      </c>
      <c r="F4" s="103" t="s">
        <v>2</v>
      </c>
      <c r="G4" s="213"/>
    </row>
    <row r="5" spans="1:7" ht="27" customHeight="1" thickTop="1" thickBot="1" x14ac:dyDescent="0.2">
      <c r="A5" s="104" t="s">
        <v>263</v>
      </c>
      <c r="B5" s="46" t="s">
        <v>264</v>
      </c>
      <c r="C5" s="138">
        <f>C6+C133</f>
        <v>321680</v>
      </c>
      <c r="D5" s="139">
        <f>D6+D133</f>
        <v>666182</v>
      </c>
      <c r="E5" s="138">
        <f>E6+E133</f>
        <v>341662</v>
      </c>
      <c r="F5" s="138">
        <f>F6+F133</f>
        <v>324520</v>
      </c>
      <c r="G5" s="47"/>
    </row>
    <row r="6" spans="1:7" ht="27" customHeight="1" thickTop="1" thickBot="1" x14ac:dyDescent="0.2">
      <c r="A6" s="105" t="s">
        <v>265</v>
      </c>
      <c r="B6" s="48" t="s">
        <v>266</v>
      </c>
      <c r="C6" s="140">
        <f>C7+C26+C35+C47+C61+C71+C78+C88+C100+C105+C109+C113+C115+C118+C121+C124+C130</f>
        <v>129433</v>
      </c>
      <c r="D6" s="141">
        <f>D7+D26+D35+D47+D61+D71+D78+D88+D100+D105+D109+D113+D115+D118+D121+D124+D130</f>
        <v>263653</v>
      </c>
      <c r="E6" s="140">
        <f>E7+E26+E35+E47+E61+E71+E78+E88+E100+E105+E109+E113+E115+E118+E121+E124+E130</f>
        <v>133603</v>
      </c>
      <c r="F6" s="140">
        <f>F7+F26+F35+F47+F61+F71+F78+F88+F100+F105+F109+F113+F115+F118+F121+F124+F130</f>
        <v>130050</v>
      </c>
      <c r="G6" s="49"/>
    </row>
    <row r="7" spans="1:7" ht="24.95" customHeight="1" thickTop="1" x14ac:dyDescent="0.15">
      <c r="A7" s="206" t="s">
        <v>267</v>
      </c>
      <c r="B7" s="50" t="s">
        <v>0</v>
      </c>
      <c r="C7" s="124">
        <f>SUM(C8:C25)</f>
        <v>11199</v>
      </c>
      <c r="D7" s="125">
        <f>SUM(D8:D25)</f>
        <v>21717</v>
      </c>
      <c r="E7" s="124">
        <f>SUM(E8:E25)</f>
        <v>11141</v>
      </c>
      <c r="F7" s="124">
        <f>SUM(F8:F25)</f>
        <v>10576</v>
      </c>
      <c r="G7" s="51"/>
    </row>
    <row r="8" spans="1:7" ht="24.95" customHeight="1" x14ac:dyDescent="0.15">
      <c r="A8" s="204"/>
      <c r="B8" s="11" t="s">
        <v>235</v>
      </c>
      <c r="C8" s="152">
        <v>388</v>
      </c>
      <c r="D8" s="127">
        <v>740</v>
      </c>
      <c r="E8" s="152">
        <v>367</v>
      </c>
      <c r="F8" s="152">
        <v>373</v>
      </c>
      <c r="G8" s="52"/>
    </row>
    <row r="9" spans="1:7" ht="24.95" customHeight="1" x14ac:dyDescent="0.15">
      <c r="A9" s="204"/>
      <c r="B9" s="11" t="s">
        <v>236</v>
      </c>
      <c r="C9" s="152">
        <v>234</v>
      </c>
      <c r="D9" s="127">
        <v>487</v>
      </c>
      <c r="E9" s="152">
        <v>250</v>
      </c>
      <c r="F9" s="152">
        <v>237</v>
      </c>
      <c r="G9" s="52"/>
    </row>
    <row r="10" spans="1:7" ht="24.95" customHeight="1" x14ac:dyDescent="0.15">
      <c r="A10" s="204"/>
      <c r="B10" s="11" t="s">
        <v>237</v>
      </c>
      <c r="C10" s="152">
        <v>221</v>
      </c>
      <c r="D10" s="127">
        <v>458</v>
      </c>
      <c r="E10" s="152">
        <v>241</v>
      </c>
      <c r="F10" s="152">
        <v>217</v>
      </c>
      <c r="G10" s="52"/>
    </row>
    <row r="11" spans="1:7" ht="24.95" customHeight="1" x14ac:dyDescent="0.15">
      <c r="A11" s="204"/>
      <c r="B11" s="11" t="s">
        <v>238</v>
      </c>
      <c r="C11" s="152">
        <v>160</v>
      </c>
      <c r="D11" s="127">
        <v>294</v>
      </c>
      <c r="E11" s="152">
        <v>146</v>
      </c>
      <c r="F11" s="152">
        <v>148</v>
      </c>
      <c r="G11" s="52"/>
    </row>
    <row r="12" spans="1:7" ht="24.95" customHeight="1" x14ac:dyDescent="0.15">
      <c r="A12" s="204"/>
      <c r="B12" s="11" t="s">
        <v>239</v>
      </c>
      <c r="C12" s="152">
        <v>193</v>
      </c>
      <c r="D12" s="127">
        <v>313</v>
      </c>
      <c r="E12" s="152">
        <v>155</v>
      </c>
      <c r="F12" s="152">
        <v>158</v>
      </c>
      <c r="G12" s="52"/>
    </row>
    <row r="13" spans="1:7" ht="24.95" customHeight="1" x14ac:dyDescent="0.15">
      <c r="A13" s="204"/>
      <c r="B13" s="11" t="s">
        <v>240</v>
      </c>
      <c r="C13" s="152">
        <v>117</v>
      </c>
      <c r="D13" s="127">
        <v>168</v>
      </c>
      <c r="E13" s="152">
        <v>66</v>
      </c>
      <c r="F13" s="152">
        <v>102</v>
      </c>
      <c r="G13" s="52"/>
    </row>
    <row r="14" spans="1:7" ht="24.95" customHeight="1" x14ac:dyDescent="0.15">
      <c r="A14" s="204"/>
      <c r="B14" s="11" t="s">
        <v>241</v>
      </c>
      <c r="C14" s="152">
        <v>74</v>
      </c>
      <c r="D14" s="127">
        <v>127</v>
      </c>
      <c r="E14" s="152">
        <v>67</v>
      </c>
      <c r="F14" s="152">
        <v>60</v>
      </c>
      <c r="G14" s="52"/>
    </row>
    <row r="15" spans="1:7" ht="24.95" customHeight="1" x14ac:dyDescent="0.15">
      <c r="A15" s="204"/>
      <c r="B15" s="11" t="s">
        <v>242</v>
      </c>
      <c r="C15" s="152">
        <v>338</v>
      </c>
      <c r="D15" s="127">
        <v>680</v>
      </c>
      <c r="E15" s="152">
        <v>356</v>
      </c>
      <c r="F15" s="152">
        <v>324</v>
      </c>
      <c r="G15" s="52"/>
    </row>
    <row r="16" spans="1:7" ht="24.95" customHeight="1" x14ac:dyDescent="0.15">
      <c r="A16" s="204"/>
      <c r="B16" s="11" t="s">
        <v>243</v>
      </c>
      <c r="C16" s="152">
        <v>432</v>
      </c>
      <c r="D16" s="127">
        <v>730</v>
      </c>
      <c r="E16" s="152">
        <v>389</v>
      </c>
      <c r="F16" s="152">
        <v>341</v>
      </c>
      <c r="G16" s="52"/>
    </row>
    <row r="17" spans="1:7" ht="24.95" customHeight="1" x14ac:dyDescent="0.15">
      <c r="A17" s="204"/>
      <c r="B17" s="11" t="s">
        <v>498</v>
      </c>
      <c r="C17" s="152">
        <v>62</v>
      </c>
      <c r="D17" s="127">
        <v>134</v>
      </c>
      <c r="E17" s="152">
        <v>63</v>
      </c>
      <c r="F17" s="152">
        <v>71</v>
      </c>
      <c r="G17" s="52"/>
    </row>
    <row r="18" spans="1:7" ht="24.95" customHeight="1" x14ac:dyDescent="0.15">
      <c r="A18" s="204"/>
      <c r="B18" s="11" t="s">
        <v>244</v>
      </c>
      <c r="C18" s="152">
        <v>143</v>
      </c>
      <c r="D18" s="127">
        <v>264</v>
      </c>
      <c r="E18" s="152">
        <v>136</v>
      </c>
      <c r="F18" s="152">
        <v>128</v>
      </c>
      <c r="G18" s="52"/>
    </row>
    <row r="19" spans="1:7" ht="24.95" customHeight="1" x14ac:dyDescent="0.15">
      <c r="A19" s="204"/>
      <c r="B19" s="11" t="s">
        <v>245</v>
      </c>
      <c r="C19" s="152">
        <v>103</v>
      </c>
      <c r="D19" s="127">
        <v>178</v>
      </c>
      <c r="E19" s="152">
        <v>90</v>
      </c>
      <c r="F19" s="152">
        <v>88</v>
      </c>
      <c r="G19" s="52"/>
    </row>
    <row r="20" spans="1:7" ht="24.95" customHeight="1" x14ac:dyDescent="0.15">
      <c r="A20" s="204"/>
      <c r="B20" s="11" t="s">
        <v>246</v>
      </c>
      <c r="C20" s="152">
        <v>5012</v>
      </c>
      <c r="D20" s="127">
        <v>9544</v>
      </c>
      <c r="E20" s="152">
        <v>4961</v>
      </c>
      <c r="F20" s="152">
        <v>4583</v>
      </c>
      <c r="G20" s="52"/>
    </row>
    <row r="21" spans="1:7" ht="24.95" customHeight="1" x14ac:dyDescent="0.15">
      <c r="A21" s="204"/>
      <c r="B21" s="11" t="s">
        <v>247</v>
      </c>
      <c r="C21" s="152">
        <v>376</v>
      </c>
      <c r="D21" s="127">
        <v>796</v>
      </c>
      <c r="E21" s="152">
        <v>394</v>
      </c>
      <c r="F21" s="152">
        <v>402</v>
      </c>
      <c r="G21" s="52"/>
    </row>
    <row r="22" spans="1:7" ht="24.95" customHeight="1" x14ac:dyDescent="0.15">
      <c r="A22" s="204"/>
      <c r="B22" s="11" t="s">
        <v>248</v>
      </c>
      <c r="C22" s="152">
        <v>414</v>
      </c>
      <c r="D22" s="127">
        <v>920</v>
      </c>
      <c r="E22" s="152">
        <v>465</v>
      </c>
      <c r="F22" s="152">
        <v>455</v>
      </c>
      <c r="G22" s="52"/>
    </row>
    <row r="23" spans="1:7" ht="24.95" customHeight="1" x14ac:dyDescent="0.15">
      <c r="A23" s="204"/>
      <c r="B23" s="11" t="s">
        <v>249</v>
      </c>
      <c r="C23" s="152">
        <v>2622</v>
      </c>
      <c r="D23" s="127">
        <v>5323</v>
      </c>
      <c r="E23" s="152">
        <v>2687</v>
      </c>
      <c r="F23" s="152">
        <v>2636</v>
      </c>
      <c r="G23" s="52"/>
    </row>
    <row r="24" spans="1:7" ht="24.95" customHeight="1" x14ac:dyDescent="0.15">
      <c r="A24" s="204"/>
      <c r="B24" s="11" t="s">
        <v>250</v>
      </c>
      <c r="C24" s="152">
        <v>195</v>
      </c>
      <c r="D24" s="127">
        <v>366</v>
      </c>
      <c r="E24" s="152">
        <v>199</v>
      </c>
      <c r="F24" s="152">
        <v>167</v>
      </c>
      <c r="G24" s="52"/>
    </row>
    <row r="25" spans="1:7" ht="24.95" customHeight="1" thickBot="1" x14ac:dyDescent="0.2">
      <c r="A25" s="204"/>
      <c r="B25" s="11" t="s">
        <v>251</v>
      </c>
      <c r="C25" s="152">
        <v>115</v>
      </c>
      <c r="D25" s="127">
        <v>195</v>
      </c>
      <c r="E25" s="152">
        <v>109</v>
      </c>
      <c r="F25" s="152">
        <v>86</v>
      </c>
      <c r="G25" s="52"/>
    </row>
    <row r="26" spans="1:7" ht="24.95" customHeight="1" thickTop="1" x14ac:dyDescent="0.15">
      <c r="A26" s="214" t="s">
        <v>200</v>
      </c>
      <c r="B26" s="50" t="s">
        <v>0</v>
      </c>
      <c r="C26" s="136">
        <f>SUM(C27:C34)</f>
        <v>5456</v>
      </c>
      <c r="D26" s="137">
        <f>SUM(D27:D34)</f>
        <v>10557</v>
      </c>
      <c r="E26" s="136">
        <f>SUM(E27:E34)</f>
        <v>5594</v>
      </c>
      <c r="F26" s="136">
        <f>SUM(F27:F34)</f>
        <v>4963</v>
      </c>
      <c r="G26" s="51"/>
    </row>
    <row r="27" spans="1:7" ht="24.95" customHeight="1" x14ac:dyDescent="0.15">
      <c r="A27" s="215"/>
      <c r="B27" s="53" t="s">
        <v>324</v>
      </c>
      <c r="C27" s="142">
        <v>165</v>
      </c>
      <c r="D27" s="127">
        <v>268</v>
      </c>
      <c r="E27" s="142">
        <v>158</v>
      </c>
      <c r="F27" s="142">
        <v>110</v>
      </c>
      <c r="G27" s="52"/>
    </row>
    <row r="28" spans="1:7" ht="24.95" customHeight="1" x14ac:dyDescent="0.15">
      <c r="A28" s="215"/>
      <c r="B28" s="53" t="s">
        <v>325</v>
      </c>
      <c r="C28" s="142">
        <v>386</v>
      </c>
      <c r="D28" s="127">
        <v>700</v>
      </c>
      <c r="E28" s="142">
        <v>393</v>
      </c>
      <c r="F28" s="142">
        <v>307</v>
      </c>
      <c r="G28" s="52"/>
    </row>
    <row r="29" spans="1:7" ht="24.95" customHeight="1" x14ac:dyDescent="0.15">
      <c r="A29" s="215"/>
      <c r="B29" s="54" t="s">
        <v>326</v>
      </c>
      <c r="C29" s="142">
        <v>86</v>
      </c>
      <c r="D29" s="127">
        <v>155</v>
      </c>
      <c r="E29" s="142">
        <v>79</v>
      </c>
      <c r="F29" s="142">
        <v>76</v>
      </c>
      <c r="G29" s="55"/>
    </row>
    <row r="30" spans="1:7" ht="24.95" customHeight="1" x14ac:dyDescent="0.15">
      <c r="A30" s="215"/>
      <c r="B30" s="53" t="s">
        <v>327</v>
      </c>
      <c r="C30" s="142">
        <v>138</v>
      </c>
      <c r="D30" s="127">
        <v>253</v>
      </c>
      <c r="E30" s="142">
        <v>118</v>
      </c>
      <c r="F30" s="142">
        <v>135</v>
      </c>
      <c r="G30" s="52"/>
    </row>
    <row r="31" spans="1:7" ht="24.95" customHeight="1" x14ac:dyDescent="0.15">
      <c r="A31" s="215"/>
      <c r="B31" s="53" t="s">
        <v>328</v>
      </c>
      <c r="C31" s="142">
        <v>3669</v>
      </c>
      <c r="D31" s="127">
        <v>7397</v>
      </c>
      <c r="E31" s="142">
        <v>3858</v>
      </c>
      <c r="F31" s="142">
        <v>3539</v>
      </c>
      <c r="G31" s="52"/>
    </row>
    <row r="32" spans="1:7" ht="24.95" customHeight="1" x14ac:dyDescent="0.15">
      <c r="A32" s="215"/>
      <c r="B32" s="53" t="s">
        <v>329</v>
      </c>
      <c r="C32" s="142">
        <v>116</v>
      </c>
      <c r="D32" s="127">
        <v>217</v>
      </c>
      <c r="E32" s="142">
        <v>111</v>
      </c>
      <c r="F32" s="142">
        <v>106</v>
      </c>
      <c r="G32" s="52"/>
    </row>
    <row r="33" spans="1:7" ht="24.95" customHeight="1" x14ac:dyDescent="0.15">
      <c r="A33" s="215"/>
      <c r="B33" s="53" t="s">
        <v>330</v>
      </c>
      <c r="C33" s="142">
        <v>418</v>
      </c>
      <c r="D33" s="127">
        <v>683</v>
      </c>
      <c r="E33" s="142">
        <v>410</v>
      </c>
      <c r="F33" s="142">
        <v>273</v>
      </c>
      <c r="G33" s="52"/>
    </row>
    <row r="34" spans="1:7" ht="24.95" customHeight="1" thickBot="1" x14ac:dyDescent="0.2">
      <c r="A34" s="216"/>
      <c r="B34" s="56" t="s">
        <v>331</v>
      </c>
      <c r="C34" s="142">
        <v>478</v>
      </c>
      <c r="D34" s="127">
        <v>884</v>
      </c>
      <c r="E34" s="142">
        <v>467</v>
      </c>
      <c r="F34" s="142">
        <v>417</v>
      </c>
      <c r="G34" s="57"/>
    </row>
    <row r="35" spans="1:7" ht="24.95" customHeight="1" thickTop="1" x14ac:dyDescent="0.15">
      <c r="A35" s="206" t="s">
        <v>269</v>
      </c>
      <c r="B35" s="50" t="s">
        <v>0</v>
      </c>
      <c r="C35" s="136">
        <f>SUM(C36:C46)</f>
        <v>2277</v>
      </c>
      <c r="D35" s="137">
        <f>SUM(D36:D46)</f>
        <v>3950</v>
      </c>
      <c r="E35" s="136">
        <f>SUM(E36:E46)</f>
        <v>1990</v>
      </c>
      <c r="F35" s="136">
        <f>SUM(F36:F46)</f>
        <v>1960</v>
      </c>
      <c r="G35" s="51"/>
    </row>
    <row r="36" spans="1:7" ht="24.95" customHeight="1" x14ac:dyDescent="0.15">
      <c r="A36" s="204"/>
      <c r="B36" s="53" t="s">
        <v>332</v>
      </c>
      <c r="C36" s="142">
        <v>387</v>
      </c>
      <c r="D36" s="254">
        <v>651</v>
      </c>
      <c r="E36" s="142">
        <v>334</v>
      </c>
      <c r="F36" s="142">
        <v>317</v>
      </c>
      <c r="G36" s="52"/>
    </row>
    <row r="37" spans="1:7" ht="24.95" customHeight="1" x14ac:dyDescent="0.15">
      <c r="A37" s="204"/>
      <c r="B37" s="53" t="s">
        <v>333</v>
      </c>
      <c r="C37" s="142">
        <v>324</v>
      </c>
      <c r="D37" s="254">
        <v>562</v>
      </c>
      <c r="E37" s="142">
        <v>234</v>
      </c>
      <c r="F37" s="142">
        <v>328</v>
      </c>
      <c r="G37" s="52"/>
    </row>
    <row r="38" spans="1:7" ht="24.95" customHeight="1" x14ac:dyDescent="0.15">
      <c r="A38" s="204"/>
      <c r="B38" s="53" t="s">
        <v>334</v>
      </c>
      <c r="C38" s="142">
        <v>192</v>
      </c>
      <c r="D38" s="254">
        <v>348</v>
      </c>
      <c r="E38" s="142">
        <v>182</v>
      </c>
      <c r="F38" s="142">
        <v>166</v>
      </c>
      <c r="G38" s="52"/>
    </row>
    <row r="39" spans="1:7" ht="24.95" customHeight="1" x14ac:dyDescent="0.15">
      <c r="A39" s="204"/>
      <c r="B39" s="53" t="s">
        <v>335</v>
      </c>
      <c r="C39" s="142">
        <v>137</v>
      </c>
      <c r="D39" s="254">
        <v>254</v>
      </c>
      <c r="E39" s="142">
        <v>127</v>
      </c>
      <c r="F39" s="142">
        <v>127</v>
      </c>
      <c r="G39" s="52"/>
    </row>
    <row r="40" spans="1:7" ht="24.95" customHeight="1" x14ac:dyDescent="0.15">
      <c r="A40" s="204"/>
      <c r="B40" s="53" t="s">
        <v>336</v>
      </c>
      <c r="C40" s="142">
        <v>271</v>
      </c>
      <c r="D40" s="254">
        <v>491</v>
      </c>
      <c r="E40" s="142">
        <v>255</v>
      </c>
      <c r="F40" s="142">
        <v>236</v>
      </c>
      <c r="G40" s="52"/>
    </row>
    <row r="41" spans="1:7" ht="24.95" customHeight="1" x14ac:dyDescent="0.15">
      <c r="A41" s="204"/>
      <c r="B41" s="53" t="s">
        <v>337</v>
      </c>
      <c r="C41" s="142">
        <v>321</v>
      </c>
      <c r="D41" s="254">
        <v>575</v>
      </c>
      <c r="E41" s="142">
        <v>284</v>
      </c>
      <c r="F41" s="142">
        <v>291</v>
      </c>
      <c r="G41" s="52"/>
    </row>
    <row r="42" spans="1:7" ht="24.95" customHeight="1" x14ac:dyDescent="0.15">
      <c r="A42" s="204"/>
      <c r="B42" s="53" t="s">
        <v>338</v>
      </c>
      <c r="C42" s="142">
        <v>97</v>
      </c>
      <c r="D42" s="254">
        <v>174</v>
      </c>
      <c r="E42" s="142">
        <v>91</v>
      </c>
      <c r="F42" s="142">
        <v>83</v>
      </c>
      <c r="G42" s="52"/>
    </row>
    <row r="43" spans="1:7" ht="24.95" customHeight="1" x14ac:dyDescent="0.15">
      <c r="A43" s="204"/>
      <c r="B43" s="53" t="s">
        <v>339</v>
      </c>
      <c r="C43" s="142">
        <v>82</v>
      </c>
      <c r="D43" s="254">
        <v>127</v>
      </c>
      <c r="E43" s="142">
        <v>71</v>
      </c>
      <c r="F43" s="142">
        <v>56</v>
      </c>
      <c r="G43" s="52"/>
    </row>
    <row r="44" spans="1:7" ht="24.95" customHeight="1" x14ac:dyDescent="0.15">
      <c r="A44" s="204"/>
      <c r="B44" s="53" t="s">
        <v>340</v>
      </c>
      <c r="C44" s="142">
        <v>117</v>
      </c>
      <c r="D44" s="254">
        <v>190</v>
      </c>
      <c r="E44" s="142">
        <v>103</v>
      </c>
      <c r="F44" s="142">
        <v>87</v>
      </c>
      <c r="G44" s="52"/>
    </row>
    <row r="45" spans="1:7" ht="24.95" customHeight="1" x14ac:dyDescent="0.15">
      <c r="A45" s="204"/>
      <c r="B45" s="53" t="s">
        <v>341</v>
      </c>
      <c r="C45" s="142">
        <v>178</v>
      </c>
      <c r="D45" s="254">
        <v>292</v>
      </c>
      <c r="E45" s="142">
        <v>151</v>
      </c>
      <c r="F45" s="142">
        <v>141</v>
      </c>
      <c r="G45" s="52"/>
    </row>
    <row r="46" spans="1:7" ht="24.95" customHeight="1" thickBot="1" x14ac:dyDescent="0.2">
      <c r="A46" s="205"/>
      <c r="B46" s="58" t="s">
        <v>342</v>
      </c>
      <c r="C46" s="252">
        <v>171</v>
      </c>
      <c r="D46" s="254">
        <v>286</v>
      </c>
      <c r="E46" s="252">
        <v>158</v>
      </c>
      <c r="F46" s="252">
        <v>128</v>
      </c>
      <c r="G46" s="59"/>
    </row>
    <row r="47" spans="1:7" ht="24.95" customHeight="1" thickTop="1" x14ac:dyDescent="0.15">
      <c r="A47" s="214" t="s">
        <v>274</v>
      </c>
      <c r="B47" s="50" t="s">
        <v>0</v>
      </c>
      <c r="C47" s="136">
        <f>SUM(C48:C60)</f>
        <v>2398</v>
      </c>
      <c r="D47" s="137">
        <f t="shared" ref="D47:F47" si="0">SUM(D48:D60)</f>
        <v>3976</v>
      </c>
      <c r="E47" s="136">
        <f t="shared" si="0"/>
        <v>2085</v>
      </c>
      <c r="F47" s="136">
        <f t="shared" si="0"/>
        <v>1891</v>
      </c>
      <c r="G47" s="51"/>
    </row>
    <row r="48" spans="1:7" ht="24.95" customHeight="1" x14ac:dyDescent="0.15">
      <c r="A48" s="215"/>
      <c r="B48" s="53" t="s">
        <v>343</v>
      </c>
      <c r="C48" s="152">
        <v>383</v>
      </c>
      <c r="D48" s="254">
        <v>583</v>
      </c>
      <c r="E48" s="152">
        <v>302</v>
      </c>
      <c r="F48" s="152">
        <v>281</v>
      </c>
      <c r="G48" s="52"/>
    </row>
    <row r="49" spans="1:7" ht="24.95" customHeight="1" x14ac:dyDescent="0.15">
      <c r="A49" s="215"/>
      <c r="B49" s="53" t="s">
        <v>344</v>
      </c>
      <c r="C49" s="152">
        <v>804</v>
      </c>
      <c r="D49" s="254">
        <v>1285</v>
      </c>
      <c r="E49" s="152">
        <v>678</v>
      </c>
      <c r="F49" s="152">
        <v>607</v>
      </c>
      <c r="G49" s="52"/>
    </row>
    <row r="50" spans="1:7" ht="24.95" customHeight="1" x14ac:dyDescent="0.15">
      <c r="A50" s="215"/>
      <c r="B50" s="53" t="s">
        <v>345</v>
      </c>
      <c r="C50" s="152">
        <v>122</v>
      </c>
      <c r="D50" s="254">
        <v>237</v>
      </c>
      <c r="E50" s="152">
        <v>120</v>
      </c>
      <c r="F50" s="152">
        <v>117</v>
      </c>
      <c r="G50" s="52"/>
    </row>
    <row r="51" spans="1:7" ht="24.95" customHeight="1" x14ac:dyDescent="0.15">
      <c r="A51" s="215"/>
      <c r="B51" s="53" t="s">
        <v>346</v>
      </c>
      <c r="C51" s="152">
        <v>165</v>
      </c>
      <c r="D51" s="254">
        <v>344</v>
      </c>
      <c r="E51" s="152">
        <v>178</v>
      </c>
      <c r="F51" s="152">
        <v>166</v>
      </c>
      <c r="G51" s="52"/>
    </row>
    <row r="52" spans="1:7" ht="24.95" customHeight="1" x14ac:dyDescent="0.15">
      <c r="A52" s="215"/>
      <c r="B52" s="53" t="s">
        <v>347</v>
      </c>
      <c r="C52" s="152">
        <v>139</v>
      </c>
      <c r="D52" s="254">
        <v>243</v>
      </c>
      <c r="E52" s="152">
        <v>122</v>
      </c>
      <c r="F52" s="152">
        <v>121</v>
      </c>
      <c r="G52" s="52"/>
    </row>
    <row r="53" spans="1:7" ht="24.95" customHeight="1" x14ac:dyDescent="0.15">
      <c r="A53" s="215"/>
      <c r="B53" s="53" t="s">
        <v>348</v>
      </c>
      <c r="C53" s="152">
        <v>76</v>
      </c>
      <c r="D53" s="254">
        <v>115</v>
      </c>
      <c r="E53" s="152">
        <v>63</v>
      </c>
      <c r="F53" s="152">
        <v>52</v>
      </c>
      <c r="G53" s="52"/>
    </row>
    <row r="54" spans="1:7" ht="24.95" customHeight="1" x14ac:dyDescent="0.15">
      <c r="A54" s="215"/>
      <c r="B54" s="54" t="s">
        <v>349</v>
      </c>
      <c r="C54" s="152">
        <v>120</v>
      </c>
      <c r="D54" s="254">
        <v>215</v>
      </c>
      <c r="E54" s="152">
        <v>111</v>
      </c>
      <c r="F54" s="152">
        <v>104</v>
      </c>
      <c r="G54" s="52"/>
    </row>
    <row r="55" spans="1:7" ht="24.95" customHeight="1" x14ac:dyDescent="0.15">
      <c r="A55" s="215"/>
      <c r="B55" s="53" t="s">
        <v>350</v>
      </c>
      <c r="C55" s="152">
        <v>105</v>
      </c>
      <c r="D55" s="254">
        <v>179</v>
      </c>
      <c r="E55" s="152">
        <v>89</v>
      </c>
      <c r="F55" s="152">
        <v>90</v>
      </c>
      <c r="G55" s="52"/>
    </row>
    <row r="56" spans="1:7" ht="24.95" customHeight="1" x14ac:dyDescent="0.15">
      <c r="A56" s="215"/>
      <c r="B56" s="53" t="s">
        <v>351</v>
      </c>
      <c r="C56" s="152">
        <v>75</v>
      </c>
      <c r="D56" s="254">
        <v>107</v>
      </c>
      <c r="E56" s="152">
        <v>61</v>
      </c>
      <c r="F56" s="152">
        <v>46</v>
      </c>
      <c r="G56" s="52"/>
    </row>
    <row r="57" spans="1:7" ht="24.95" customHeight="1" x14ac:dyDescent="0.15">
      <c r="A57" s="215"/>
      <c r="B57" s="53" t="s">
        <v>352</v>
      </c>
      <c r="C57" s="152">
        <v>108</v>
      </c>
      <c r="D57" s="254">
        <v>172</v>
      </c>
      <c r="E57" s="152">
        <v>102</v>
      </c>
      <c r="F57" s="152">
        <v>70</v>
      </c>
      <c r="G57" s="52"/>
    </row>
    <row r="58" spans="1:7" ht="24.95" customHeight="1" x14ac:dyDescent="0.15">
      <c r="A58" s="215"/>
      <c r="B58" s="53" t="s">
        <v>353</v>
      </c>
      <c r="C58" s="152">
        <v>114</v>
      </c>
      <c r="D58" s="254">
        <v>198</v>
      </c>
      <c r="E58" s="152">
        <v>102</v>
      </c>
      <c r="F58" s="152">
        <v>96</v>
      </c>
      <c r="G58" s="52"/>
    </row>
    <row r="59" spans="1:7" ht="24.95" customHeight="1" x14ac:dyDescent="0.15">
      <c r="A59" s="215"/>
      <c r="B59" s="53" t="s">
        <v>354</v>
      </c>
      <c r="C59" s="152">
        <v>71</v>
      </c>
      <c r="D59" s="254">
        <v>113</v>
      </c>
      <c r="E59" s="152">
        <v>56</v>
      </c>
      <c r="F59" s="152">
        <v>57</v>
      </c>
      <c r="G59" s="52"/>
    </row>
    <row r="60" spans="1:7" ht="24.95" customHeight="1" thickBot="1" x14ac:dyDescent="0.2">
      <c r="A60" s="216"/>
      <c r="B60" s="56" t="s">
        <v>341</v>
      </c>
      <c r="C60" s="152">
        <v>116</v>
      </c>
      <c r="D60" s="254">
        <v>185</v>
      </c>
      <c r="E60" s="152">
        <v>101</v>
      </c>
      <c r="F60" s="152">
        <v>84</v>
      </c>
      <c r="G60" s="57"/>
    </row>
    <row r="61" spans="1:7" ht="24.95" customHeight="1" thickTop="1" x14ac:dyDescent="0.15">
      <c r="A61" s="217" t="s">
        <v>279</v>
      </c>
      <c r="B61" s="50" t="s">
        <v>0</v>
      </c>
      <c r="C61" s="136">
        <f>SUM(C62:C70)</f>
        <v>1516</v>
      </c>
      <c r="D61" s="137">
        <f>SUM(D62:D70)</f>
        <v>2734</v>
      </c>
      <c r="E61" s="136">
        <f>SUM(E62:E70)</f>
        <v>1452</v>
      </c>
      <c r="F61" s="136">
        <f>SUM(F62:F70)</f>
        <v>1282</v>
      </c>
      <c r="G61" s="51"/>
    </row>
    <row r="62" spans="1:7" ht="24.95" customHeight="1" x14ac:dyDescent="0.15">
      <c r="A62" s="218"/>
      <c r="B62" s="53" t="s">
        <v>339</v>
      </c>
      <c r="C62" s="152">
        <v>165</v>
      </c>
      <c r="D62" s="254">
        <v>292</v>
      </c>
      <c r="E62" s="152">
        <v>146</v>
      </c>
      <c r="F62" s="152">
        <v>146</v>
      </c>
      <c r="G62" s="52"/>
    </row>
    <row r="63" spans="1:7" ht="24.95" customHeight="1" x14ac:dyDescent="0.15">
      <c r="A63" s="218"/>
      <c r="B63" s="53" t="s">
        <v>355</v>
      </c>
      <c r="C63" s="152">
        <v>178</v>
      </c>
      <c r="D63" s="254">
        <v>313</v>
      </c>
      <c r="E63" s="152">
        <v>165</v>
      </c>
      <c r="F63" s="152">
        <v>148</v>
      </c>
      <c r="G63" s="52"/>
    </row>
    <row r="64" spans="1:7" ht="24.95" customHeight="1" x14ac:dyDescent="0.15">
      <c r="A64" s="218"/>
      <c r="B64" s="53" t="s">
        <v>356</v>
      </c>
      <c r="C64" s="152">
        <v>118</v>
      </c>
      <c r="D64" s="254">
        <v>203</v>
      </c>
      <c r="E64" s="152">
        <v>114</v>
      </c>
      <c r="F64" s="152">
        <v>89</v>
      </c>
      <c r="G64" s="52"/>
    </row>
    <row r="65" spans="1:7" ht="24.95" customHeight="1" x14ac:dyDescent="0.15">
      <c r="A65" s="218"/>
      <c r="B65" s="53" t="s">
        <v>357</v>
      </c>
      <c r="C65" s="152">
        <v>115</v>
      </c>
      <c r="D65" s="254">
        <v>207</v>
      </c>
      <c r="E65" s="152">
        <v>107</v>
      </c>
      <c r="F65" s="152">
        <v>100</v>
      </c>
      <c r="G65" s="52"/>
    </row>
    <row r="66" spans="1:7" ht="24.95" customHeight="1" x14ac:dyDescent="0.15">
      <c r="A66" s="218"/>
      <c r="B66" s="53" t="s">
        <v>230</v>
      </c>
      <c r="C66" s="152">
        <v>277</v>
      </c>
      <c r="D66" s="254">
        <v>459</v>
      </c>
      <c r="E66" s="152">
        <v>236</v>
      </c>
      <c r="F66" s="152">
        <v>223</v>
      </c>
      <c r="G66" s="52"/>
    </row>
    <row r="67" spans="1:7" ht="24.95" customHeight="1" x14ac:dyDescent="0.15">
      <c r="A67" s="218"/>
      <c r="B67" s="53" t="s">
        <v>358</v>
      </c>
      <c r="C67" s="152">
        <v>165</v>
      </c>
      <c r="D67" s="254">
        <v>303</v>
      </c>
      <c r="E67" s="152">
        <v>161</v>
      </c>
      <c r="F67" s="152">
        <v>142</v>
      </c>
      <c r="G67" s="52"/>
    </row>
    <row r="68" spans="1:7" ht="24.95" customHeight="1" x14ac:dyDescent="0.15">
      <c r="A68" s="218"/>
      <c r="B68" s="53" t="s">
        <v>359</v>
      </c>
      <c r="C68" s="152">
        <v>275</v>
      </c>
      <c r="D68" s="254">
        <v>595</v>
      </c>
      <c r="E68" s="152">
        <v>332</v>
      </c>
      <c r="F68" s="152">
        <v>263</v>
      </c>
      <c r="G68" s="52"/>
    </row>
    <row r="69" spans="1:7" ht="24.95" customHeight="1" x14ac:dyDescent="0.15">
      <c r="A69" s="218"/>
      <c r="B69" s="53" t="s">
        <v>360</v>
      </c>
      <c r="C69" s="152">
        <v>92</v>
      </c>
      <c r="D69" s="254">
        <v>146</v>
      </c>
      <c r="E69" s="152">
        <v>68</v>
      </c>
      <c r="F69" s="152">
        <v>78</v>
      </c>
      <c r="G69" s="52"/>
    </row>
    <row r="70" spans="1:7" ht="24.95" customHeight="1" thickBot="1" x14ac:dyDescent="0.2">
      <c r="A70" s="219"/>
      <c r="B70" s="58" t="s">
        <v>361</v>
      </c>
      <c r="C70" s="152">
        <v>131</v>
      </c>
      <c r="D70" s="254">
        <v>216</v>
      </c>
      <c r="E70" s="152">
        <v>123</v>
      </c>
      <c r="F70" s="152">
        <v>93</v>
      </c>
      <c r="G70" s="59"/>
    </row>
    <row r="71" spans="1:7" s="77" customFormat="1" ht="24.95" customHeight="1" thickTop="1" x14ac:dyDescent="0.15">
      <c r="A71" s="201" t="s">
        <v>280</v>
      </c>
      <c r="B71" s="60" t="s">
        <v>0</v>
      </c>
      <c r="C71" s="136">
        <f>SUM(C72:C77)</f>
        <v>1206</v>
      </c>
      <c r="D71" s="143">
        <f>SUM(D72:D77)</f>
        <v>1982</v>
      </c>
      <c r="E71" s="136">
        <f>SUM(E72:E77)</f>
        <v>1108</v>
      </c>
      <c r="F71" s="136">
        <f>SUM(F72:F77)</f>
        <v>874</v>
      </c>
      <c r="G71" s="61"/>
    </row>
    <row r="72" spans="1:7" s="77" customFormat="1" ht="24.95" customHeight="1" x14ac:dyDescent="0.15">
      <c r="A72" s="202"/>
      <c r="B72" s="62" t="s">
        <v>362</v>
      </c>
      <c r="C72" s="258">
        <v>223</v>
      </c>
      <c r="D72" s="238">
        <v>380</v>
      </c>
      <c r="E72" s="142">
        <v>207</v>
      </c>
      <c r="F72" s="142">
        <v>173</v>
      </c>
      <c r="G72" s="63"/>
    </row>
    <row r="73" spans="1:7" s="77" customFormat="1" ht="24.95" customHeight="1" x14ac:dyDescent="0.15">
      <c r="A73" s="202"/>
      <c r="B73" s="62" t="s">
        <v>363</v>
      </c>
      <c r="C73" s="142">
        <v>220</v>
      </c>
      <c r="D73" s="238">
        <v>331</v>
      </c>
      <c r="E73" s="142">
        <v>199</v>
      </c>
      <c r="F73" s="142">
        <v>132</v>
      </c>
      <c r="G73" s="63"/>
    </row>
    <row r="74" spans="1:7" s="77" customFormat="1" ht="24.95" customHeight="1" x14ac:dyDescent="0.15">
      <c r="A74" s="202"/>
      <c r="B74" s="62" t="s">
        <v>364</v>
      </c>
      <c r="C74" s="142">
        <v>130</v>
      </c>
      <c r="D74" s="238">
        <v>216</v>
      </c>
      <c r="E74" s="142">
        <v>125</v>
      </c>
      <c r="F74" s="142">
        <v>91</v>
      </c>
      <c r="G74" s="63"/>
    </row>
    <row r="75" spans="1:7" s="77" customFormat="1" ht="24.95" customHeight="1" x14ac:dyDescent="0.15">
      <c r="A75" s="202"/>
      <c r="B75" s="62" t="s">
        <v>365</v>
      </c>
      <c r="C75" s="142">
        <v>168</v>
      </c>
      <c r="D75" s="238">
        <v>278</v>
      </c>
      <c r="E75" s="142">
        <v>154</v>
      </c>
      <c r="F75" s="142">
        <v>124</v>
      </c>
      <c r="G75" s="63"/>
    </row>
    <row r="76" spans="1:7" s="77" customFormat="1" ht="24.95" customHeight="1" x14ac:dyDescent="0.15">
      <c r="A76" s="202"/>
      <c r="B76" s="62" t="s">
        <v>366</v>
      </c>
      <c r="C76" s="142">
        <v>201</v>
      </c>
      <c r="D76" s="238">
        <v>346</v>
      </c>
      <c r="E76" s="142">
        <v>195</v>
      </c>
      <c r="F76" s="142">
        <v>151</v>
      </c>
      <c r="G76" s="63"/>
    </row>
    <row r="77" spans="1:7" s="77" customFormat="1" ht="24.95" customHeight="1" thickBot="1" x14ac:dyDescent="0.2">
      <c r="A77" s="203"/>
      <c r="B77" s="64" t="s">
        <v>367</v>
      </c>
      <c r="C77" s="252">
        <v>264</v>
      </c>
      <c r="D77" s="259">
        <v>431</v>
      </c>
      <c r="E77" s="252">
        <v>228</v>
      </c>
      <c r="F77" s="252">
        <v>203</v>
      </c>
      <c r="G77" s="65"/>
    </row>
    <row r="78" spans="1:7" ht="24.95" customHeight="1" thickTop="1" x14ac:dyDescent="0.15">
      <c r="A78" s="204" t="s">
        <v>281</v>
      </c>
      <c r="B78" s="66" t="s">
        <v>0</v>
      </c>
      <c r="C78" s="144">
        <f>SUM(C79:C87)</f>
        <v>3638</v>
      </c>
      <c r="D78" s="145">
        <f>SUM(D79:D87)</f>
        <v>5837</v>
      </c>
      <c r="E78" s="144">
        <f>SUM(E79:E87)</f>
        <v>3221</v>
      </c>
      <c r="F78" s="144">
        <f>SUM(F79:F87)</f>
        <v>2616</v>
      </c>
      <c r="G78" s="67"/>
    </row>
    <row r="79" spans="1:7" ht="24.95" customHeight="1" x14ac:dyDescent="0.15">
      <c r="A79" s="204"/>
      <c r="B79" s="53" t="s">
        <v>368</v>
      </c>
      <c r="C79" s="152">
        <v>1565</v>
      </c>
      <c r="D79" s="127">
        <v>2151</v>
      </c>
      <c r="E79" s="152">
        <v>1316</v>
      </c>
      <c r="F79" s="152">
        <v>835</v>
      </c>
      <c r="G79" s="52"/>
    </row>
    <row r="80" spans="1:7" ht="24.95" customHeight="1" x14ac:dyDescent="0.15">
      <c r="A80" s="204"/>
      <c r="B80" s="53" t="s">
        <v>369</v>
      </c>
      <c r="C80" s="152">
        <v>804</v>
      </c>
      <c r="D80" s="127">
        <v>1507</v>
      </c>
      <c r="E80" s="152">
        <v>775</v>
      </c>
      <c r="F80" s="152">
        <v>732</v>
      </c>
      <c r="G80" s="52"/>
    </row>
    <row r="81" spans="1:7" ht="24.95" customHeight="1" x14ac:dyDescent="0.15">
      <c r="A81" s="204"/>
      <c r="B81" s="53" t="s">
        <v>370</v>
      </c>
      <c r="C81" s="152">
        <v>452</v>
      </c>
      <c r="D81" s="127">
        <v>748</v>
      </c>
      <c r="E81" s="152">
        <v>406</v>
      </c>
      <c r="F81" s="152">
        <v>342</v>
      </c>
      <c r="G81" s="52"/>
    </row>
    <row r="82" spans="1:7" ht="24.95" customHeight="1" x14ac:dyDescent="0.15">
      <c r="A82" s="204"/>
      <c r="B82" s="53" t="s">
        <v>371</v>
      </c>
      <c r="C82" s="152">
        <v>194</v>
      </c>
      <c r="D82" s="127">
        <v>345</v>
      </c>
      <c r="E82" s="152">
        <v>187</v>
      </c>
      <c r="F82" s="152">
        <v>158</v>
      </c>
      <c r="G82" s="52"/>
    </row>
    <row r="83" spans="1:7" ht="24.95" customHeight="1" x14ac:dyDescent="0.15">
      <c r="A83" s="204"/>
      <c r="B83" s="53" t="s">
        <v>372</v>
      </c>
      <c r="C83" s="152">
        <v>129</v>
      </c>
      <c r="D83" s="127">
        <v>232</v>
      </c>
      <c r="E83" s="152">
        <v>116</v>
      </c>
      <c r="F83" s="152">
        <v>116</v>
      </c>
      <c r="G83" s="52"/>
    </row>
    <row r="84" spans="1:7" ht="24.95" customHeight="1" x14ac:dyDescent="0.15">
      <c r="A84" s="204"/>
      <c r="B84" s="53" t="s">
        <v>373</v>
      </c>
      <c r="C84" s="152">
        <v>143</v>
      </c>
      <c r="D84" s="127">
        <v>233</v>
      </c>
      <c r="E84" s="152">
        <v>113</v>
      </c>
      <c r="F84" s="152">
        <v>120</v>
      </c>
      <c r="G84" s="52"/>
    </row>
    <row r="85" spans="1:7" ht="24.95" customHeight="1" x14ac:dyDescent="0.15">
      <c r="A85" s="204"/>
      <c r="B85" s="53" t="s">
        <v>374</v>
      </c>
      <c r="C85" s="152">
        <v>157</v>
      </c>
      <c r="D85" s="127">
        <v>271</v>
      </c>
      <c r="E85" s="152">
        <v>126</v>
      </c>
      <c r="F85" s="152">
        <v>145</v>
      </c>
      <c r="G85" s="52"/>
    </row>
    <row r="86" spans="1:7" ht="24.95" customHeight="1" x14ac:dyDescent="0.15">
      <c r="A86" s="204"/>
      <c r="B86" s="53" t="s">
        <v>375</v>
      </c>
      <c r="C86" s="152">
        <v>106</v>
      </c>
      <c r="D86" s="127">
        <v>190</v>
      </c>
      <c r="E86" s="152">
        <v>96</v>
      </c>
      <c r="F86" s="152">
        <v>94</v>
      </c>
      <c r="G86" s="52"/>
    </row>
    <row r="87" spans="1:7" ht="24.95" customHeight="1" thickBot="1" x14ac:dyDescent="0.2">
      <c r="A87" s="205"/>
      <c r="B87" s="58" t="s">
        <v>376</v>
      </c>
      <c r="C87" s="152">
        <v>88</v>
      </c>
      <c r="D87" s="127">
        <v>160</v>
      </c>
      <c r="E87" s="152">
        <v>86</v>
      </c>
      <c r="F87" s="152">
        <v>74</v>
      </c>
      <c r="G87" s="59"/>
    </row>
    <row r="88" spans="1:7" ht="24.95" customHeight="1" thickTop="1" x14ac:dyDescent="0.15">
      <c r="A88" s="206" t="s">
        <v>377</v>
      </c>
      <c r="B88" s="50" t="s">
        <v>0</v>
      </c>
      <c r="C88" s="136">
        <f>SUM(C89:C99)</f>
        <v>1129</v>
      </c>
      <c r="D88" s="137">
        <f>SUM(D89:D99)</f>
        <v>1864</v>
      </c>
      <c r="E88" s="136">
        <f>SUM(E89:E99)</f>
        <v>1021</v>
      </c>
      <c r="F88" s="136">
        <f>SUM(F89:F99)</f>
        <v>843</v>
      </c>
      <c r="G88" s="51"/>
    </row>
    <row r="89" spans="1:7" ht="24.95" customHeight="1" x14ac:dyDescent="0.15">
      <c r="A89" s="204"/>
      <c r="B89" s="53" t="s">
        <v>378</v>
      </c>
      <c r="C89" s="155">
        <v>73</v>
      </c>
      <c r="D89" s="127">
        <v>127</v>
      </c>
      <c r="E89" s="155">
        <v>79</v>
      </c>
      <c r="F89" s="155">
        <v>48</v>
      </c>
      <c r="G89" s="52"/>
    </row>
    <row r="90" spans="1:7" ht="24.95" customHeight="1" x14ac:dyDescent="0.15">
      <c r="A90" s="204"/>
      <c r="B90" s="53" t="s">
        <v>379</v>
      </c>
      <c r="C90" s="260">
        <v>81</v>
      </c>
      <c r="D90" s="127">
        <v>132</v>
      </c>
      <c r="E90" s="261">
        <v>72</v>
      </c>
      <c r="F90" s="155">
        <v>60</v>
      </c>
      <c r="G90" s="52"/>
    </row>
    <row r="91" spans="1:7" ht="24.95" customHeight="1" x14ac:dyDescent="0.15">
      <c r="A91" s="204"/>
      <c r="B91" s="53" t="s">
        <v>380</v>
      </c>
      <c r="C91" s="155">
        <v>102</v>
      </c>
      <c r="D91" s="127">
        <v>175</v>
      </c>
      <c r="E91" s="155">
        <v>94</v>
      </c>
      <c r="F91" s="155">
        <v>81</v>
      </c>
      <c r="G91" s="52"/>
    </row>
    <row r="92" spans="1:7" ht="24.95" customHeight="1" x14ac:dyDescent="0.15">
      <c r="A92" s="204"/>
      <c r="B92" s="53" t="s">
        <v>332</v>
      </c>
      <c r="C92" s="262">
        <v>85</v>
      </c>
      <c r="D92" s="127">
        <v>131</v>
      </c>
      <c r="E92" s="262">
        <v>75</v>
      </c>
      <c r="F92" s="155">
        <v>56</v>
      </c>
      <c r="G92" s="52"/>
    </row>
    <row r="93" spans="1:7" ht="24.95" customHeight="1" x14ac:dyDescent="0.15">
      <c r="A93" s="204"/>
      <c r="B93" s="53" t="s">
        <v>381</v>
      </c>
      <c r="C93" s="155">
        <v>176</v>
      </c>
      <c r="D93" s="127">
        <v>351</v>
      </c>
      <c r="E93" s="155">
        <v>188</v>
      </c>
      <c r="F93" s="155">
        <v>163</v>
      </c>
      <c r="G93" s="52"/>
    </row>
    <row r="94" spans="1:7" ht="24.95" customHeight="1" x14ac:dyDescent="0.15">
      <c r="A94" s="204"/>
      <c r="B94" s="53" t="s">
        <v>382</v>
      </c>
      <c r="C94" s="260">
        <v>48</v>
      </c>
      <c r="D94" s="127">
        <v>72</v>
      </c>
      <c r="E94" s="261">
        <v>38</v>
      </c>
      <c r="F94" s="155">
        <v>34</v>
      </c>
      <c r="G94" s="52"/>
    </row>
    <row r="95" spans="1:7" ht="24.95" customHeight="1" x14ac:dyDescent="0.15">
      <c r="A95" s="204"/>
      <c r="B95" s="53" t="s">
        <v>383</v>
      </c>
      <c r="C95" s="155">
        <v>125</v>
      </c>
      <c r="D95" s="127">
        <v>182</v>
      </c>
      <c r="E95" s="155">
        <v>96</v>
      </c>
      <c r="F95" s="155">
        <v>86</v>
      </c>
      <c r="G95" s="52"/>
    </row>
    <row r="96" spans="1:7" ht="24.95" customHeight="1" x14ac:dyDescent="0.15">
      <c r="A96" s="204"/>
      <c r="B96" s="53" t="s">
        <v>384</v>
      </c>
      <c r="C96" s="155">
        <v>79</v>
      </c>
      <c r="D96" s="127">
        <v>133</v>
      </c>
      <c r="E96" s="155">
        <v>68</v>
      </c>
      <c r="F96" s="155">
        <v>65</v>
      </c>
      <c r="G96" s="52"/>
    </row>
    <row r="97" spans="1:7" ht="24.95" customHeight="1" x14ac:dyDescent="0.15">
      <c r="A97" s="204"/>
      <c r="B97" s="53" t="s">
        <v>385</v>
      </c>
      <c r="C97" s="155">
        <v>118</v>
      </c>
      <c r="D97" s="127">
        <v>189</v>
      </c>
      <c r="E97" s="260">
        <v>102</v>
      </c>
      <c r="F97" s="155">
        <v>87</v>
      </c>
      <c r="G97" s="52"/>
    </row>
    <row r="98" spans="1:7" ht="24.95" customHeight="1" x14ac:dyDescent="0.15">
      <c r="A98" s="204"/>
      <c r="B98" s="53" t="s">
        <v>386</v>
      </c>
      <c r="C98" s="155">
        <v>146</v>
      </c>
      <c r="D98" s="127">
        <v>211</v>
      </c>
      <c r="E98" s="262">
        <v>120</v>
      </c>
      <c r="F98" s="155">
        <v>91</v>
      </c>
      <c r="G98" s="52"/>
    </row>
    <row r="99" spans="1:7" ht="24.95" customHeight="1" thickBot="1" x14ac:dyDescent="0.2">
      <c r="A99" s="205"/>
      <c r="B99" s="58" t="s">
        <v>387</v>
      </c>
      <c r="C99" s="263">
        <v>96</v>
      </c>
      <c r="D99" s="146">
        <v>161</v>
      </c>
      <c r="E99" s="263">
        <v>89</v>
      </c>
      <c r="F99" s="263">
        <v>72</v>
      </c>
      <c r="G99" s="59"/>
    </row>
    <row r="100" spans="1:7" s="77" customFormat="1" ht="24.95" customHeight="1" thickTop="1" x14ac:dyDescent="0.15">
      <c r="A100" s="202" t="s">
        <v>284</v>
      </c>
      <c r="B100" s="68" t="s">
        <v>0</v>
      </c>
      <c r="C100" s="144">
        <f>SUM(C101:C104)</f>
        <v>2758</v>
      </c>
      <c r="D100" s="145">
        <f>SUM(D101:D104)</f>
        <v>4395</v>
      </c>
      <c r="E100" s="144">
        <f>SUM(E101:E104)</f>
        <v>2305</v>
      </c>
      <c r="F100" s="144">
        <f>SUM(F101:F104)</f>
        <v>2090</v>
      </c>
      <c r="G100" s="69"/>
    </row>
    <row r="101" spans="1:7" s="77" customFormat="1" ht="24.95" customHeight="1" x14ac:dyDescent="0.15">
      <c r="A101" s="202"/>
      <c r="B101" s="62" t="s">
        <v>388</v>
      </c>
      <c r="C101" s="152">
        <v>457</v>
      </c>
      <c r="D101" s="254">
        <v>593</v>
      </c>
      <c r="E101" s="152">
        <v>375</v>
      </c>
      <c r="F101" s="152">
        <v>218</v>
      </c>
      <c r="G101" s="63"/>
    </row>
    <row r="102" spans="1:7" s="77" customFormat="1" ht="24.95" customHeight="1" x14ac:dyDescent="0.15">
      <c r="A102" s="202"/>
      <c r="B102" s="62" t="s">
        <v>389</v>
      </c>
      <c r="C102" s="152">
        <v>734</v>
      </c>
      <c r="D102" s="254">
        <v>1129</v>
      </c>
      <c r="E102" s="152">
        <v>579</v>
      </c>
      <c r="F102" s="152">
        <v>550</v>
      </c>
      <c r="G102" s="63"/>
    </row>
    <row r="103" spans="1:7" s="77" customFormat="1" ht="24.95" customHeight="1" x14ac:dyDescent="0.15">
      <c r="A103" s="202"/>
      <c r="B103" s="62" t="s">
        <v>390</v>
      </c>
      <c r="C103" s="152">
        <v>1286</v>
      </c>
      <c r="D103" s="254">
        <v>2228</v>
      </c>
      <c r="E103" s="152">
        <v>1123</v>
      </c>
      <c r="F103" s="152">
        <v>1105</v>
      </c>
      <c r="G103" s="63"/>
    </row>
    <row r="104" spans="1:7" s="77" customFormat="1" ht="24.95" customHeight="1" thickBot="1" x14ac:dyDescent="0.2">
      <c r="A104" s="203"/>
      <c r="B104" s="64" t="s">
        <v>391</v>
      </c>
      <c r="C104" s="153">
        <v>281</v>
      </c>
      <c r="D104" s="264">
        <v>445</v>
      </c>
      <c r="E104" s="153">
        <v>228</v>
      </c>
      <c r="F104" s="153">
        <v>217</v>
      </c>
      <c r="G104" s="65"/>
    </row>
    <row r="105" spans="1:7" ht="24.95" customHeight="1" thickTop="1" x14ac:dyDescent="0.15">
      <c r="A105" s="106" t="s">
        <v>259</v>
      </c>
      <c r="B105" s="66" t="s">
        <v>0</v>
      </c>
      <c r="C105" s="144">
        <f>SUM(C106:C108)</f>
        <v>3926</v>
      </c>
      <c r="D105" s="145">
        <f>SUM(D106:D108)</f>
        <v>7785</v>
      </c>
      <c r="E105" s="144">
        <f>SUM(E106:E108)</f>
        <v>3913</v>
      </c>
      <c r="F105" s="144">
        <f>SUM(F106:F108)</f>
        <v>3872</v>
      </c>
      <c r="G105" s="67"/>
    </row>
    <row r="106" spans="1:7" ht="24.95" customHeight="1" x14ac:dyDescent="0.15">
      <c r="A106" s="204" t="s">
        <v>285</v>
      </c>
      <c r="B106" s="53" t="s">
        <v>392</v>
      </c>
      <c r="C106" s="152">
        <v>794</v>
      </c>
      <c r="D106" s="127">
        <v>1269</v>
      </c>
      <c r="E106" s="152">
        <v>652</v>
      </c>
      <c r="F106" s="152">
        <v>617</v>
      </c>
      <c r="G106" s="52"/>
    </row>
    <row r="107" spans="1:7" ht="24.95" customHeight="1" x14ac:dyDescent="0.15">
      <c r="A107" s="204"/>
      <c r="B107" s="56" t="s">
        <v>393</v>
      </c>
      <c r="C107" s="152">
        <v>3130</v>
      </c>
      <c r="D107" s="127">
        <v>6513</v>
      </c>
      <c r="E107" s="152">
        <v>3260</v>
      </c>
      <c r="F107" s="152">
        <v>3253</v>
      </c>
      <c r="G107" s="57"/>
    </row>
    <row r="108" spans="1:7" ht="24.95" customHeight="1" thickBot="1" x14ac:dyDescent="0.2">
      <c r="A108" s="106"/>
      <c r="B108" s="53" t="s">
        <v>394</v>
      </c>
      <c r="C108" s="152">
        <v>2</v>
      </c>
      <c r="D108" s="127">
        <v>3</v>
      </c>
      <c r="E108" s="152">
        <v>1</v>
      </c>
      <c r="F108" s="152">
        <v>2</v>
      </c>
      <c r="G108" s="57"/>
    </row>
    <row r="109" spans="1:7" ht="24.95" customHeight="1" thickTop="1" x14ac:dyDescent="0.15">
      <c r="A109" s="206" t="s">
        <v>286</v>
      </c>
      <c r="B109" s="50" t="s">
        <v>0</v>
      </c>
      <c r="C109" s="136">
        <f>SUM(C110:C112)</f>
        <v>3982</v>
      </c>
      <c r="D109" s="137">
        <f>SUM(D110:D112)</f>
        <v>7469</v>
      </c>
      <c r="E109" s="136">
        <f>SUM(E110:E112)</f>
        <v>3875</v>
      </c>
      <c r="F109" s="136">
        <f>SUM(F110:F112)</f>
        <v>3594</v>
      </c>
      <c r="G109" s="51"/>
    </row>
    <row r="110" spans="1:7" ht="24.95" customHeight="1" x14ac:dyDescent="0.15">
      <c r="A110" s="204"/>
      <c r="B110" s="53" t="s">
        <v>394</v>
      </c>
      <c r="C110" s="142">
        <v>2928</v>
      </c>
      <c r="D110" s="127">
        <v>5409</v>
      </c>
      <c r="E110" s="142">
        <v>2792</v>
      </c>
      <c r="F110" s="142">
        <v>2617</v>
      </c>
      <c r="G110" s="52"/>
    </row>
    <row r="111" spans="1:7" ht="24.95" customHeight="1" x14ac:dyDescent="0.15">
      <c r="A111" s="204"/>
      <c r="B111" s="53" t="s">
        <v>395</v>
      </c>
      <c r="C111" s="142">
        <v>1050</v>
      </c>
      <c r="D111" s="127">
        <v>2051</v>
      </c>
      <c r="E111" s="142">
        <v>1080</v>
      </c>
      <c r="F111" s="142">
        <v>971</v>
      </c>
      <c r="G111" s="57"/>
    </row>
    <row r="112" spans="1:7" ht="24.95" customHeight="1" thickBot="1" x14ac:dyDescent="0.2">
      <c r="A112" s="205"/>
      <c r="B112" s="107" t="s">
        <v>393</v>
      </c>
      <c r="C112" s="147">
        <v>4</v>
      </c>
      <c r="D112" s="127">
        <v>9</v>
      </c>
      <c r="E112" s="147">
        <v>3</v>
      </c>
      <c r="F112" s="148">
        <v>6</v>
      </c>
      <c r="G112" s="59"/>
    </row>
    <row r="113" spans="1:7" ht="24.95" customHeight="1" thickTop="1" x14ac:dyDescent="0.15">
      <c r="A113" s="206" t="s">
        <v>287</v>
      </c>
      <c r="B113" s="66" t="s">
        <v>0</v>
      </c>
      <c r="C113" s="144">
        <f>SUM(C114)</f>
        <v>4771</v>
      </c>
      <c r="D113" s="137">
        <f>SUM(D114)</f>
        <v>8493</v>
      </c>
      <c r="E113" s="144">
        <f>SUM(E114)</f>
        <v>4340</v>
      </c>
      <c r="F113" s="144">
        <f>SUM(F114)</f>
        <v>4153</v>
      </c>
      <c r="G113" s="67"/>
    </row>
    <row r="114" spans="1:7" ht="24.95" customHeight="1" thickBot="1" x14ac:dyDescent="0.2">
      <c r="A114" s="205"/>
      <c r="B114" s="56" t="s">
        <v>394</v>
      </c>
      <c r="C114" s="154">
        <v>4771</v>
      </c>
      <c r="D114" s="254">
        <v>8493</v>
      </c>
      <c r="E114" s="154">
        <v>4340</v>
      </c>
      <c r="F114" s="154">
        <v>4153</v>
      </c>
      <c r="G114" s="57"/>
    </row>
    <row r="115" spans="1:7" ht="24.95" customHeight="1" thickTop="1" x14ac:dyDescent="0.15">
      <c r="A115" s="206" t="s">
        <v>288</v>
      </c>
      <c r="B115" s="50" t="s">
        <v>0</v>
      </c>
      <c r="C115" s="136">
        <f>SUM(C116:C117)</f>
        <v>9222</v>
      </c>
      <c r="D115" s="137">
        <f>SUM(D116:D117)</f>
        <v>17048</v>
      </c>
      <c r="E115" s="136">
        <f>SUM(E116:E117)</f>
        <v>8721</v>
      </c>
      <c r="F115" s="136">
        <f>SUM(F116:F117)</f>
        <v>8327</v>
      </c>
      <c r="G115" s="51"/>
    </row>
    <row r="116" spans="1:7" ht="24.95" customHeight="1" x14ac:dyDescent="0.15">
      <c r="A116" s="204"/>
      <c r="B116" s="53" t="s">
        <v>396</v>
      </c>
      <c r="C116" s="155">
        <v>8473</v>
      </c>
      <c r="D116" s="127">
        <v>15590</v>
      </c>
      <c r="E116" s="155">
        <v>8048</v>
      </c>
      <c r="F116" s="155">
        <v>7542</v>
      </c>
      <c r="G116" s="52"/>
    </row>
    <row r="117" spans="1:7" ht="24.95" customHeight="1" thickBot="1" x14ac:dyDescent="0.2">
      <c r="A117" s="205"/>
      <c r="B117" s="58" t="s">
        <v>397</v>
      </c>
      <c r="C117" s="155">
        <v>749</v>
      </c>
      <c r="D117" s="127">
        <v>1458</v>
      </c>
      <c r="E117" s="155">
        <v>673</v>
      </c>
      <c r="F117" s="155">
        <v>785</v>
      </c>
      <c r="G117" s="59"/>
    </row>
    <row r="118" spans="1:7" ht="24.95" customHeight="1" thickTop="1" x14ac:dyDescent="0.15">
      <c r="A118" s="206" t="s">
        <v>289</v>
      </c>
      <c r="B118" s="50" t="s">
        <v>0</v>
      </c>
      <c r="C118" s="136">
        <f>SUM(C119:C120)</f>
        <v>9933</v>
      </c>
      <c r="D118" s="137">
        <f>SUM(D119:D120)</f>
        <v>24213</v>
      </c>
      <c r="E118" s="136">
        <f>SUM(E119:E120)</f>
        <v>12043</v>
      </c>
      <c r="F118" s="136">
        <f>SUM(F119:F120)</f>
        <v>12170</v>
      </c>
      <c r="G118" s="51"/>
    </row>
    <row r="119" spans="1:7" ht="24.95" customHeight="1" x14ac:dyDescent="0.15">
      <c r="A119" s="204"/>
      <c r="B119" s="53" t="s">
        <v>398</v>
      </c>
      <c r="C119" s="156">
        <v>5612</v>
      </c>
      <c r="D119" s="222">
        <v>11434</v>
      </c>
      <c r="E119" s="156">
        <v>5755</v>
      </c>
      <c r="F119" s="156">
        <v>5679</v>
      </c>
      <c r="G119" s="52"/>
    </row>
    <row r="120" spans="1:7" ht="24.95" customHeight="1" thickBot="1" x14ac:dyDescent="0.2">
      <c r="A120" s="205"/>
      <c r="B120" s="53" t="s">
        <v>399</v>
      </c>
      <c r="C120" s="156">
        <v>4321</v>
      </c>
      <c r="D120" s="222">
        <v>12779</v>
      </c>
      <c r="E120" s="156">
        <v>6288</v>
      </c>
      <c r="F120" s="156">
        <v>6491</v>
      </c>
      <c r="G120" s="52"/>
    </row>
    <row r="121" spans="1:7" ht="24.95" customHeight="1" thickTop="1" x14ac:dyDescent="0.15">
      <c r="A121" s="206" t="s">
        <v>290</v>
      </c>
      <c r="B121" s="50" t="s">
        <v>0</v>
      </c>
      <c r="C121" s="136">
        <f>SUM(C122:C123)</f>
        <v>19669</v>
      </c>
      <c r="D121" s="137">
        <f>SUM(D122:D123)</f>
        <v>42607</v>
      </c>
      <c r="E121" s="136">
        <f>SUM(E122:E123)</f>
        <v>21921</v>
      </c>
      <c r="F121" s="136">
        <f>SUM(F122:F123)</f>
        <v>20686</v>
      </c>
      <c r="G121" s="51"/>
    </row>
    <row r="122" spans="1:7" ht="24.95" customHeight="1" x14ac:dyDescent="0.15">
      <c r="A122" s="204"/>
      <c r="B122" s="53" t="s">
        <v>400</v>
      </c>
      <c r="C122" s="157">
        <v>17637</v>
      </c>
      <c r="D122" s="222">
        <v>36502</v>
      </c>
      <c r="E122" s="157">
        <v>18836</v>
      </c>
      <c r="F122" s="157">
        <v>17666</v>
      </c>
      <c r="G122" s="52"/>
    </row>
    <row r="123" spans="1:7" ht="24.95" customHeight="1" thickBot="1" x14ac:dyDescent="0.2">
      <c r="A123" s="204"/>
      <c r="B123" s="56" t="s">
        <v>399</v>
      </c>
      <c r="C123" s="157">
        <v>2032</v>
      </c>
      <c r="D123" s="222">
        <v>6105</v>
      </c>
      <c r="E123" s="157">
        <v>3085</v>
      </c>
      <c r="F123" s="157">
        <v>3020</v>
      </c>
      <c r="G123" s="57"/>
    </row>
    <row r="124" spans="1:7" ht="24.95" customHeight="1" thickTop="1" x14ac:dyDescent="0.15">
      <c r="A124" s="206" t="s">
        <v>291</v>
      </c>
      <c r="B124" s="50" t="s">
        <v>0</v>
      </c>
      <c r="C124" s="136">
        <f>SUM(C125:C129)</f>
        <v>24861</v>
      </c>
      <c r="D124" s="137">
        <f>SUM(D125:D129)</f>
        <v>59960</v>
      </c>
      <c r="E124" s="136">
        <f>SUM(E125:E129)</f>
        <v>29938</v>
      </c>
      <c r="F124" s="136">
        <f>SUM(F125:F129)</f>
        <v>30022</v>
      </c>
      <c r="G124" s="51"/>
    </row>
    <row r="125" spans="1:7" ht="24.95" customHeight="1" x14ac:dyDescent="0.15">
      <c r="A125" s="204"/>
      <c r="B125" s="53" t="s">
        <v>401</v>
      </c>
      <c r="C125" s="152">
        <v>4300</v>
      </c>
      <c r="D125" s="222">
        <v>9409</v>
      </c>
      <c r="E125" s="152">
        <v>4703</v>
      </c>
      <c r="F125" s="152">
        <v>4706</v>
      </c>
      <c r="G125" s="52"/>
    </row>
    <row r="126" spans="1:7" ht="24.95" customHeight="1" x14ac:dyDescent="0.15">
      <c r="A126" s="204"/>
      <c r="B126" s="53" t="s">
        <v>402</v>
      </c>
      <c r="C126" s="152">
        <v>4102</v>
      </c>
      <c r="D126" s="222">
        <v>9167</v>
      </c>
      <c r="E126" s="152">
        <v>4512</v>
      </c>
      <c r="F126" s="152">
        <v>4655</v>
      </c>
      <c r="G126" s="52"/>
    </row>
    <row r="127" spans="1:7" ht="24.95" customHeight="1" x14ac:dyDescent="0.15">
      <c r="A127" s="204"/>
      <c r="B127" s="53" t="s">
        <v>403</v>
      </c>
      <c r="C127" s="152">
        <v>1352</v>
      </c>
      <c r="D127" s="222">
        <v>2734</v>
      </c>
      <c r="E127" s="152">
        <v>1390</v>
      </c>
      <c r="F127" s="152">
        <v>1344</v>
      </c>
      <c r="G127" s="52"/>
    </row>
    <row r="128" spans="1:7" ht="24.95" customHeight="1" x14ac:dyDescent="0.15">
      <c r="A128" s="204"/>
      <c r="B128" s="53" t="s">
        <v>404</v>
      </c>
      <c r="C128" s="152">
        <v>14835</v>
      </c>
      <c r="D128" s="222">
        <v>38205</v>
      </c>
      <c r="E128" s="152">
        <v>19088</v>
      </c>
      <c r="F128" s="152">
        <v>19117</v>
      </c>
      <c r="G128" s="52"/>
    </row>
    <row r="129" spans="1:7" ht="24.95" customHeight="1" thickBot="1" x14ac:dyDescent="0.2">
      <c r="A129" s="205"/>
      <c r="B129" s="56" t="s">
        <v>405</v>
      </c>
      <c r="C129" s="152">
        <v>272</v>
      </c>
      <c r="D129" s="222">
        <v>445</v>
      </c>
      <c r="E129" s="152">
        <v>245</v>
      </c>
      <c r="F129" s="152">
        <v>200</v>
      </c>
      <c r="G129" s="57"/>
    </row>
    <row r="130" spans="1:7" ht="24.95" customHeight="1" thickTop="1" x14ac:dyDescent="0.15">
      <c r="A130" s="206" t="s">
        <v>293</v>
      </c>
      <c r="B130" s="50" t="s">
        <v>0</v>
      </c>
      <c r="C130" s="136">
        <f>SUM(C131:C132)</f>
        <v>21492</v>
      </c>
      <c r="D130" s="137">
        <f>SUM(D131:D132)</f>
        <v>39066</v>
      </c>
      <c r="E130" s="136">
        <f>SUM(E131:E132)</f>
        <v>18935</v>
      </c>
      <c r="F130" s="136">
        <f>SUM(F131:F132)</f>
        <v>20131</v>
      </c>
      <c r="G130" s="51"/>
    </row>
    <row r="131" spans="1:7" ht="24.95" customHeight="1" x14ac:dyDescent="0.15">
      <c r="A131" s="204"/>
      <c r="B131" s="53" t="s">
        <v>406</v>
      </c>
      <c r="C131" s="152">
        <v>15796</v>
      </c>
      <c r="D131" s="222">
        <v>30029</v>
      </c>
      <c r="E131" s="152">
        <v>14679</v>
      </c>
      <c r="F131" s="152">
        <v>15350</v>
      </c>
      <c r="G131" s="52"/>
    </row>
    <row r="132" spans="1:7" ht="24.95" customHeight="1" thickBot="1" x14ac:dyDescent="0.2">
      <c r="A132" s="205"/>
      <c r="B132" s="58" t="s">
        <v>407</v>
      </c>
      <c r="C132" s="152">
        <v>5696</v>
      </c>
      <c r="D132" s="222">
        <v>9037</v>
      </c>
      <c r="E132" s="152">
        <v>4256</v>
      </c>
      <c r="F132" s="152">
        <v>4781</v>
      </c>
      <c r="G132" s="59"/>
    </row>
    <row r="133" spans="1:7" ht="33.75" customHeight="1" thickTop="1" thickBot="1" x14ac:dyDescent="0.2">
      <c r="A133" s="105" t="s">
        <v>294</v>
      </c>
      <c r="B133" s="48" t="s">
        <v>266</v>
      </c>
      <c r="C133" s="149">
        <f>C134+C152+C166+C181+C200+C203+C205+C207+C209+C211+C213+C215+C217+C222</f>
        <v>192247</v>
      </c>
      <c r="D133" s="150">
        <f>D134+D152+D166+D181+D200+D203+D205+D207+D209+D211+D213+D215+D217+D222</f>
        <v>402529</v>
      </c>
      <c r="E133" s="149">
        <f>E134+E152+E166+E181+E200+E203+E205+E207+E209+E211+E213+E215+E217+E222</f>
        <v>208059</v>
      </c>
      <c r="F133" s="149">
        <f>F134+F152+F166+F181+F200+F203+F205+F207+F209+F211+F213+F215+F217+F222</f>
        <v>194470</v>
      </c>
      <c r="G133" s="49"/>
    </row>
    <row r="134" spans="1:7" ht="24.95" customHeight="1" thickTop="1" x14ac:dyDescent="0.15">
      <c r="A134" s="206" t="s">
        <v>295</v>
      </c>
      <c r="B134" s="50" t="s">
        <v>0</v>
      </c>
      <c r="C134" s="136">
        <f>SUM(C135:C151)</f>
        <v>11136</v>
      </c>
      <c r="D134" s="137">
        <f>SUM(D135:D151)</f>
        <v>21430</v>
      </c>
      <c r="E134" s="136">
        <f>SUM(E135:E151)</f>
        <v>11138</v>
      </c>
      <c r="F134" s="136">
        <f>SUM(F135:F151)</f>
        <v>10292</v>
      </c>
      <c r="G134" s="51"/>
    </row>
    <row r="135" spans="1:7" ht="24.95" customHeight="1" x14ac:dyDescent="0.15">
      <c r="A135" s="204"/>
      <c r="B135" s="53" t="s">
        <v>201</v>
      </c>
      <c r="C135" s="228">
        <v>2414</v>
      </c>
      <c r="D135" s="222">
        <v>4299</v>
      </c>
      <c r="E135" s="228">
        <v>2251</v>
      </c>
      <c r="F135" s="228">
        <v>2048</v>
      </c>
      <c r="G135" s="52"/>
    </row>
    <row r="136" spans="1:7" ht="24.95" customHeight="1" x14ac:dyDescent="0.15">
      <c r="A136" s="204"/>
      <c r="B136" s="53" t="s">
        <v>202</v>
      </c>
      <c r="C136" s="228">
        <v>1468</v>
      </c>
      <c r="D136" s="222">
        <v>2443</v>
      </c>
      <c r="E136" s="228">
        <v>1283</v>
      </c>
      <c r="F136" s="228">
        <v>1160</v>
      </c>
      <c r="G136" s="52"/>
    </row>
    <row r="137" spans="1:7" ht="24.95" customHeight="1" x14ac:dyDescent="0.15">
      <c r="A137" s="204"/>
      <c r="B137" s="53" t="s">
        <v>203</v>
      </c>
      <c r="C137" s="228">
        <v>3099</v>
      </c>
      <c r="D137" s="222">
        <v>6917</v>
      </c>
      <c r="E137" s="228">
        <v>3494</v>
      </c>
      <c r="F137" s="228">
        <v>3423</v>
      </c>
      <c r="G137" s="52"/>
    </row>
    <row r="138" spans="1:7" ht="24.95" customHeight="1" x14ac:dyDescent="0.15">
      <c r="A138" s="204"/>
      <c r="B138" s="53" t="s">
        <v>204</v>
      </c>
      <c r="C138" s="228">
        <v>1473</v>
      </c>
      <c r="D138" s="222">
        <v>2830</v>
      </c>
      <c r="E138" s="228">
        <v>1492</v>
      </c>
      <c r="F138" s="228">
        <v>1338</v>
      </c>
      <c r="G138" s="52"/>
    </row>
    <row r="139" spans="1:7" ht="24.95" customHeight="1" x14ac:dyDescent="0.15">
      <c r="A139" s="204"/>
      <c r="B139" s="53" t="s">
        <v>205</v>
      </c>
      <c r="C139" s="228">
        <v>170</v>
      </c>
      <c r="D139" s="222">
        <v>311</v>
      </c>
      <c r="E139" s="228">
        <v>173</v>
      </c>
      <c r="F139" s="228">
        <v>138</v>
      </c>
      <c r="G139" s="52"/>
    </row>
    <row r="140" spans="1:7" ht="24.95" customHeight="1" x14ac:dyDescent="0.15">
      <c r="A140" s="204"/>
      <c r="B140" s="53" t="s">
        <v>206</v>
      </c>
      <c r="C140" s="228">
        <v>163</v>
      </c>
      <c r="D140" s="222">
        <v>320</v>
      </c>
      <c r="E140" s="228">
        <v>168</v>
      </c>
      <c r="F140" s="228">
        <v>152</v>
      </c>
      <c r="G140" s="52"/>
    </row>
    <row r="141" spans="1:7" ht="24.95" customHeight="1" x14ac:dyDescent="0.15">
      <c r="A141" s="204"/>
      <c r="B141" s="53" t="s">
        <v>207</v>
      </c>
      <c r="C141" s="228">
        <v>242</v>
      </c>
      <c r="D141" s="222">
        <v>473</v>
      </c>
      <c r="E141" s="228">
        <v>247</v>
      </c>
      <c r="F141" s="228">
        <v>226</v>
      </c>
      <c r="G141" s="52"/>
    </row>
    <row r="142" spans="1:7" ht="24.95" customHeight="1" x14ac:dyDescent="0.15">
      <c r="A142" s="204"/>
      <c r="B142" s="53" t="s">
        <v>208</v>
      </c>
      <c r="C142" s="228">
        <v>233</v>
      </c>
      <c r="D142" s="222">
        <v>445</v>
      </c>
      <c r="E142" s="228">
        <v>231</v>
      </c>
      <c r="F142" s="228">
        <v>214</v>
      </c>
      <c r="G142" s="52"/>
    </row>
    <row r="143" spans="1:7" ht="24.95" customHeight="1" x14ac:dyDescent="0.15">
      <c r="A143" s="204"/>
      <c r="B143" s="53" t="s">
        <v>209</v>
      </c>
      <c r="C143" s="228">
        <v>62</v>
      </c>
      <c r="D143" s="222">
        <v>115</v>
      </c>
      <c r="E143" s="228">
        <v>65</v>
      </c>
      <c r="F143" s="228">
        <v>50</v>
      </c>
      <c r="G143" s="52"/>
    </row>
    <row r="144" spans="1:7" ht="24.95" customHeight="1" x14ac:dyDescent="0.15">
      <c r="A144" s="204"/>
      <c r="B144" s="53" t="s">
        <v>210</v>
      </c>
      <c r="C144" s="228">
        <v>32</v>
      </c>
      <c r="D144" s="222">
        <v>66</v>
      </c>
      <c r="E144" s="228">
        <v>36</v>
      </c>
      <c r="F144" s="228">
        <v>30</v>
      </c>
      <c r="G144" s="52"/>
    </row>
    <row r="145" spans="1:7" ht="24.95" customHeight="1" x14ac:dyDescent="0.15">
      <c r="A145" s="204"/>
      <c r="B145" s="53" t="s">
        <v>211</v>
      </c>
      <c r="C145" s="228">
        <v>96</v>
      </c>
      <c r="D145" s="222">
        <v>164</v>
      </c>
      <c r="E145" s="228">
        <v>78</v>
      </c>
      <c r="F145" s="228">
        <v>86</v>
      </c>
      <c r="G145" s="52"/>
    </row>
    <row r="146" spans="1:7" ht="24.95" customHeight="1" x14ac:dyDescent="0.15">
      <c r="A146" s="204"/>
      <c r="B146" s="53" t="s">
        <v>212</v>
      </c>
      <c r="C146" s="228">
        <v>135</v>
      </c>
      <c r="D146" s="222">
        <v>263</v>
      </c>
      <c r="E146" s="228">
        <v>141</v>
      </c>
      <c r="F146" s="228">
        <v>122</v>
      </c>
      <c r="G146" s="52"/>
    </row>
    <row r="147" spans="1:7" ht="24.95" customHeight="1" x14ac:dyDescent="0.15">
      <c r="A147" s="204"/>
      <c r="B147" s="53" t="s">
        <v>213</v>
      </c>
      <c r="C147" s="228">
        <v>358</v>
      </c>
      <c r="D147" s="222">
        <v>712</v>
      </c>
      <c r="E147" s="228">
        <v>379</v>
      </c>
      <c r="F147" s="228">
        <v>333</v>
      </c>
      <c r="G147" s="52"/>
    </row>
    <row r="148" spans="1:7" ht="24.95" customHeight="1" x14ac:dyDescent="0.15">
      <c r="A148" s="204"/>
      <c r="B148" s="56" t="s">
        <v>214</v>
      </c>
      <c r="C148" s="229">
        <v>422</v>
      </c>
      <c r="D148" s="222">
        <v>723</v>
      </c>
      <c r="E148" s="229">
        <v>364</v>
      </c>
      <c r="F148" s="229">
        <v>359</v>
      </c>
      <c r="G148" s="57"/>
    </row>
    <row r="149" spans="1:7" ht="24.95" customHeight="1" x14ac:dyDescent="0.15">
      <c r="A149" s="204"/>
      <c r="B149" s="53" t="s">
        <v>215</v>
      </c>
      <c r="C149" s="228">
        <v>447</v>
      </c>
      <c r="D149" s="222">
        <v>764</v>
      </c>
      <c r="E149" s="228">
        <v>414</v>
      </c>
      <c r="F149" s="228">
        <v>350</v>
      </c>
      <c r="G149" s="52"/>
    </row>
    <row r="150" spans="1:7" ht="24.95" customHeight="1" x14ac:dyDescent="0.15">
      <c r="A150" s="204"/>
      <c r="B150" s="53" t="s">
        <v>216</v>
      </c>
      <c r="C150" s="228">
        <v>150</v>
      </c>
      <c r="D150" s="222">
        <v>255</v>
      </c>
      <c r="E150" s="228">
        <v>134</v>
      </c>
      <c r="F150" s="228">
        <v>121</v>
      </c>
      <c r="G150" s="52"/>
    </row>
    <row r="151" spans="1:7" ht="24.95" customHeight="1" thickBot="1" x14ac:dyDescent="0.2">
      <c r="A151" s="205"/>
      <c r="B151" s="58" t="s">
        <v>217</v>
      </c>
      <c r="C151" s="230">
        <v>172</v>
      </c>
      <c r="D151" s="222">
        <v>330</v>
      </c>
      <c r="E151" s="230">
        <v>188</v>
      </c>
      <c r="F151" s="230">
        <v>142</v>
      </c>
      <c r="G151" s="59"/>
    </row>
    <row r="152" spans="1:7" ht="24.95" customHeight="1" thickTop="1" x14ac:dyDescent="0.15">
      <c r="A152" s="206" t="s">
        <v>297</v>
      </c>
      <c r="B152" s="50" t="s">
        <v>0</v>
      </c>
      <c r="C152" s="136">
        <f>SUM(C153:C165)</f>
        <v>10449</v>
      </c>
      <c r="D152" s="137">
        <f>SUM(D153:D165)</f>
        <v>21269</v>
      </c>
      <c r="E152" s="136">
        <f>SUM(E153:E165)</f>
        <v>11248</v>
      </c>
      <c r="F152" s="136">
        <f>SUM(F153:F165)</f>
        <v>10021</v>
      </c>
      <c r="G152" s="51"/>
    </row>
    <row r="153" spans="1:7" ht="24.95" customHeight="1" x14ac:dyDescent="0.15">
      <c r="A153" s="204"/>
      <c r="B153" s="53" t="s">
        <v>408</v>
      </c>
      <c r="C153" s="158">
        <v>1688</v>
      </c>
      <c r="D153" s="127">
        <v>3396</v>
      </c>
      <c r="E153" s="158">
        <v>1750</v>
      </c>
      <c r="F153" s="158">
        <v>1646</v>
      </c>
      <c r="G153" s="52"/>
    </row>
    <row r="154" spans="1:7" ht="24.95" customHeight="1" x14ac:dyDescent="0.15">
      <c r="A154" s="204"/>
      <c r="B154" s="53" t="s">
        <v>409</v>
      </c>
      <c r="C154" s="158">
        <v>1471</v>
      </c>
      <c r="D154" s="127">
        <v>2852</v>
      </c>
      <c r="E154" s="158">
        <v>1555</v>
      </c>
      <c r="F154" s="158">
        <v>1297</v>
      </c>
      <c r="G154" s="52"/>
    </row>
    <row r="155" spans="1:7" ht="24.95" customHeight="1" x14ac:dyDescent="0.15">
      <c r="A155" s="204"/>
      <c r="B155" s="53" t="s">
        <v>410</v>
      </c>
      <c r="C155" s="158">
        <v>227</v>
      </c>
      <c r="D155" s="127">
        <v>313</v>
      </c>
      <c r="E155" s="158">
        <v>192</v>
      </c>
      <c r="F155" s="158">
        <v>121</v>
      </c>
      <c r="G155" s="52"/>
    </row>
    <row r="156" spans="1:7" ht="24.95" customHeight="1" x14ac:dyDescent="0.15">
      <c r="A156" s="204"/>
      <c r="B156" s="53" t="s">
        <v>785</v>
      </c>
      <c r="C156" s="158">
        <v>57</v>
      </c>
      <c r="D156" s="127">
        <v>114</v>
      </c>
      <c r="E156" s="158">
        <v>53</v>
      </c>
      <c r="F156" s="158">
        <v>61</v>
      </c>
      <c r="G156" s="52"/>
    </row>
    <row r="157" spans="1:7" ht="24.95" customHeight="1" x14ac:dyDescent="0.15">
      <c r="A157" s="204"/>
      <c r="B157" s="53" t="s">
        <v>411</v>
      </c>
      <c r="C157" s="158">
        <v>1843</v>
      </c>
      <c r="D157" s="127">
        <v>3540</v>
      </c>
      <c r="E157" s="158">
        <v>1883</v>
      </c>
      <c r="F157" s="158">
        <v>1657</v>
      </c>
      <c r="G157" s="52"/>
    </row>
    <row r="158" spans="1:7" ht="24.95" customHeight="1" x14ac:dyDescent="0.15">
      <c r="A158" s="204"/>
      <c r="B158" s="53" t="s">
        <v>412</v>
      </c>
      <c r="C158" s="158">
        <v>160</v>
      </c>
      <c r="D158" s="127">
        <v>339</v>
      </c>
      <c r="E158" s="158">
        <v>185</v>
      </c>
      <c r="F158" s="158">
        <v>154</v>
      </c>
      <c r="G158" s="52"/>
    </row>
    <row r="159" spans="1:7" ht="24.95" customHeight="1" x14ac:dyDescent="0.15">
      <c r="A159" s="204"/>
      <c r="B159" s="53" t="s">
        <v>413</v>
      </c>
      <c r="C159" s="158">
        <v>72</v>
      </c>
      <c r="D159" s="127">
        <v>140</v>
      </c>
      <c r="E159" s="158">
        <v>70</v>
      </c>
      <c r="F159" s="158">
        <v>70</v>
      </c>
      <c r="G159" s="52"/>
    </row>
    <row r="160" spans="1:7" ht="24.95" customHeight="1" x14ac:dyDescent="0.15">
      <c r="A160" s="204"/>
      <c r="B160" s="53" t="s">
        <v>414</v>
      </c>
      <c r="C160" s="158">
        <v>61</v>
      </c>
      <c r="D160" s="127">
        <v>104</v>
      </c>
      <c r="E160" s="158">
        <v>54</v>
      </c>
      <c r="F160" s="158">
        <v>50</v>
      </c>
      <c r="G160" s="52"/>
    </row>
    <row r="161" spans="1:7" ht="24.95" customHeight="1" x14ac:dyDescent="0.15">
      <c r="A161" s="204"/>
      <c r="B161" s="53" t="s">
        <v>415</v>
      </c>
      <c r="C161" s="158">
        <v>581</v>
      </c>
      <c r="D161" s="127">
        <v>1063</v>
      </c>
      <c r="E161" s="158">
        <v>572</v>
      </c>
      <c r="F161" s="158">
        <v>491</v>
      </c>
      <c r="G161" s="52"/>
    </row>
    <row r="162" spans="1:7" ht="24.95" customHeight="1" x14ac:dyDescent="0.15">
      <c r="A162" s="204"/>
      <c r="B162" s="53" t="s">
        <v>416</v>
      </c>
      <c r="C162" s="158">
        <v>396</v>
      </c>
      <c r="D162" s="127">
        <v>643</v>
      </c>
      <c r="E162" s="158">
        <v>362</v>
      </c>
      <c r="F162" s="158">
        <v>281</v>
      </c>
      <c r="G162" s="52"/>
    </row>
    <row r="163" spans="1:7" ht="24.95" customHeight="1" x14ac:dyDescent="0.15">
      <c r="A163" s="204"/>
      <c r="B163" s="53" t="s">
        <v>417</v>
      </c>
      <c r="C163" s="158">
        <v>914</v>
      </c>
      <c r="D163" s="127">
        <v>1268</v>
      </c>
      <c r="E163" s="158">
        <v>761</v>
      </c>
      <c r="F163" s="158">
        <v>507</v>
      </c>
      <c r="G163" s="52"/>
    </row>
    <row r="164" spans="1:7" ht="24.95" customHeight="1" x14ac:dyDescent="0.15">
      <c r="A164" s="204"/>
      <c r="B164" s="53" t="s">
        <v>418</v>
      </c>
      <c r="C164" s="158">
        <v>166</v>
      </c>
      <c r="D164" s="127">
        <v>366</v>
      </c>
      <c r="E164" s="158">
        <v>185</v>
      </c>
      <c r="F164" s="158">
        <v>181</v>
      </c>
      <c r="G164" s="52"/>
    </row>
    <row r="165" spans="1:7" ht="24.95" customHeight="1" thickBot="1" x14ac:dyDescent="0.2">
      <c r="A165" s="205"/>
      <c r="B165" s="58" t="s">
        <v>419</v>
      </c>
      <c r="C165" s="158">
        <v>2813</v>
      </c>
      <c r="D165" s="127">
        <v>7131</v>
      </c>
      <c r="E165" s="158">
        <v>3626</v>
      </c>
      <c r="F165" s="158">
        <v>3505</v>
      </c>
      <c r="G165" s="59"/>
    </row>
    <row r="166" spans="1:7" ht="24.95" customHeight="1" thickTop="1" x14ac:dyDescent="0.15">
      <c r="A166" s="206" t="s">
        <v>301</v>
      </c>
      <c r="B166" s="50" t="s">
        <v>0</v>
      </c>
      <c r="C166" s="136">
        <f>SUM(C167:C180)</f>
        <v>9978</v>
      </c>
      <c r="D166" s="143">
        <f>SUM(D167:D180)</f>
        <v>18957</v>
      </c>
      <c r="E166" s="136">
        <f>SUM(E167:E180)</f>
        <v>10474</v>
      </c>
      <c r="F166" s="136">
        <f>SUM(F167:F180)</f>
        <v>8483</v>
      </c>
      <c r="G166" s="51"/>
    </row>
    <row r="167" spans="1:7" ht="24.95" customHeight="1" x14ac:dyDescent="0.15">
      <c r="A167" s="204"/>
      <c r="B167" s="53" t="s">
        <v>218</v>
      </c>
      <c r="C167" s="165">
        <v>336</v>
      </c>
      <c r="D167" s="232">
        <v>627</v>
      </c>
      <c r="E167" s="165">
        <v>342</v>
      </c>
      <c r="F167" s="165">
        <v>285</v>
      </c>
      <c r="G167" s="52"/>
    </row>
    <row r="168" spans="1:7" ht="24.95" customHeight="1" x14ac:dyDescent="0.15">
      <c r="A168" s="204"/>
      <c r="B168" s="53" t="s">
        <v>219</v>
      </c>
      <c r="C168" s="165">
        <v>492</v>
      </c>
      <c r="D168" s="232">
        <v>888</v>
      </c>
      <c r="E168" s="165">
        <v>502</v>
      </c>
      <c r="F168" s="165">
        <v>386</v>
      </c>
      <c r="G168" s="52"/>
    </row>
    <row r="169" spans="1:7" ht="24.95" customHeight="1" x14ac:dyDescent="0.15">
      <c r="A169" s="204"/>
      <c r="B169" s="53" t="s">
        <v>220</v>
      </c>
      <c r="C169" s="165">
        <v>131</v>
      </c>
      <c r="D169" s="232">
        <v>236</v>
      </c>
      <c r="E169" s="165">
        <v>119</v>
      </c>
      <c r="F169" s="165">
        <v>117</v>
      </c>
      <c r="G169" s="52"/>
    </row>
    <row r="170" spans="1:7" ht="24.95" customHeight="1" x14ac:dyDescent="0.15">
      <c r="A170" s="204"/>
      <c r="B170" s="53" t="s">
        <v>221</v>
      </c>
      <c r="C170" s="165">
        <v>226</v>
      </c>
      <c r="D170" s="232">
        <v>375</v>
      </c>
      <c r="E170" s="165">
        <v>225</v>
      </c>
      <c r="F170" s="165">
        <v>150</v>
      </c>
      <c r="G170" s="52"/>
    </row>
    <row r="171" spans="1:7" ht="24.95" customHeight="1" x14ac:dyDescent="0.15">
      <c r="A171" s="204"/>
      <c r="B171" s="53" t="s">
        <v>222</v>
      </c>
      <c r="C171" s="165">
        <v>851</v>
      </c>
      <c r="D171" s="232">
        <v>1645</v>
      </c>
      <c r="E171" s="165">
        <v>852</v>
      </c>
      <c r="F171" s="165">
        <v>793</v>
      </c>
      <c r="G171" s="52"/>
    </row>
    <row r="172" spans="1:7" ht="24.95" customHeight="1" x14ac:dyDescent="0.15">
      <c r="A172" s="204"/>
      <c r="B172" s="53" t="s">
        <v>223</v>
      </c>
      <c r="C172" s="165">
        <v>4515</v>
      </c>
      <c r="D172" s="232">
        <v>9487</v>
      </c>
      <c r="E172" s="165">
        <v>5073</v>
      </c>
      <c r="F172" s="165">
        <v>4414</v>
      </c>
      <c r="G172" s="52"/>
    </row>
    <row r="173" spans="1:7" ht="24.95" customHeight="1" x14ac:dyDescent="0.15">
      <c r="A173" s="204"/>
      <c r="B173" s="56" t="s">
        <v>224</v>
      </c>
      <c r="C173" s="165">
        <v>570</v>
      </c>
      <c r="D173" s="232">
        <v>1040</v>
      </c>
      <c r="E173" s="165">
        <v>566</v>
      </c>
      <c r="F173" s="165">
        <v>474</v>
      </c>
      <c r="G173" s="57"/>
    </row>
    <row r="174" spans="1:7" ht="24.95" customHeight="1" x14ac:dyDescent="0.15">
      <c r="A174" s="204"/>
      <c r="B174" s="53" t="s">
        <v>225</v>
      </c>
      <c r="C174" s="165">
        <v>549</v>
      </c>
      <c r="D174" s="232">
        <v>1020</v>
      </c>
      <c r="E174" s="165">
        <v>533</v>
      </c>
      <c r="F174" s="165">
        <v>487</v>
      </c>
      <c r="G174" s="52"/>
    </row>
    <row r="175" spans="1:7" ht="24.95" customHeight="1" x14ac:dyDescent="0.15">
      <c r="A175" s="204"/>
      <c r="B175" s="53" t="s">
        <v>226</v>
      </c>
      <c r="C175" s="165">
        <v>1693</v>
      </c>
      <c r="D175" s="232">
        <v>2506</v>
      </c>
      <c r="E175" s="165">
        <v>1606</v>
      </c>
      <c r="F175" s="165">
        <v>900</v>
      </c>
      <c r="G175" s="52"/>
    </row>
    <row r="176" spans="1:7" ht="24.95" customHeight="1" x14ac:dyDescent="0.15">
      <c r="A176" s="204"/>
      <c r="B176" s="53" t="s">
        <v>786</v>
      </c>
      <c r="C176" s="165">
        <v>101</v>
      </c>
      <c r="D176" s="232">
        <v>167</v>
      </c>
      <c r="E176" s="165">
        <v>90</v>
      </c>
      <c r="F176" s="165">
        <v>77</v>
      </c>
      <c r="G176" s="52"/>
    </row>
    <row r="177" spans="1:7" ht="24.95" customHeight="1" x14ac:dyDescent="0.15">
      <c r="A177" s="204"/>
      <c r="B177" s="53" t="s">
        <v>227</v>
      </c>
      <c r="C177" s="165">
        <v>189</v>
      </c>
      <c r="D177" s="232">
        <v>343</v>
      </c>
      <c r="E177" s="165">
        <v>197</v>
      </c>
      <c r="F177" s="165">
        <v>146</v>
      </c>
      <c r="G177" s="52"/>
    </row>
    <row r="178" spans="1:7" ht="24.95" customHeight="1" x14ac:dyDescent="0.15">
      <c r="A178" s="204"/>
      <c r="B178" s="53" t="s">
        <v>228</v>
      </c>
      <c r="C178" s="165">
        <v>63</v>
      </c>
      <c r="D178" s="232">
        <v>101</v>
      </c>
      <c r="E178" s="165">
        <v>73</v>
      </c>
      <c r="F178" s="165">
        <v>28</v>
      </c>
      <c r="G178" s="52"/>
    </row>
    <row r="179" spans="1:7" ht="24.95" customHeight="1" x14ac:dyDescent="0.15">
      <c r="A179" s="204"/>
      <c r="B179" s="53" t="s">
        <v>229</v>
      </c>
      <c r="C179" s="165">
        <v>184</v>
      </c>
      <c r="D179" s="232">
        <v>364</v>
      </c>
      <c r="E179" s="165">
        <v>211</v>
      </c>
      <c r="F179" s="165">
        <v>153</v>
      </c>
      <c r="G179" s="52"/>
    </row>
    <row r="180" spans="1:7" ht="24.95" customHeight="1" thickBot="1" x14ac:dyDescent="0.2">
      <c r="A180" s="205"/>
      <c r="B180" s="58" t="s">
        <v>230</v>
      </c>
      <c r="C180" s="233">
        <v>78</v>
      </c>
      <c r="D180" s="232">
        <v>158</v>
      </c>
      <c r="E180" s="233">
        <v>85</v>
      </c>
      <c r="F180" s="233">
        <v>73</v>
      </c>
      <c r="G180" s="59"/>
    </row>
    <row r="181" spans="1:7" ht="24.95" customHeight="1" thickTop="1" x14ac:dyDescent="0.15">
      <c r="A181" s="206" t="s">
        <v>304</v>
      </c>
      <c r="B181" s="50" t="s">
        <v>0</v>
      </c>
      <c r="C181" s="136">
        <f>SUM(C182:C199)</f>
        <v>4155</v>
      </c>
      <c r="D181" s="137">
        <f>SUM(D182:D199)</f>
        <v>7328</v>
      </c>
      <c r="E181" s="136">
        <f>SUM(E182:E199)</f>
        <v>3993</v>
      </c>
      <c r="F181" s="136">
        <f>SUM(F182:F199)</f>
        <v>3335</v>
      </c>
      <c r="G181" s="51"/>
    </row>
    <row r="182" spans="1:7" ht="24.95" customHeight="1" x14ac:dyDescent="0.15">
      <c r="A182" s="204"/>
      <c r="B182" s="53" t="s">
        <v>420</v>
      </c>
      <c r="C182" s="152">
        <v>1038</v>
      </c>
      <c r="D182" s="238">
        <v>1787</v>
      </c>
      <c r="E182" s="152">
        <v>952</v>
      </c>
      <c r="F182" s="152">
        <v>835</v>
      </c>
      <c r="G182" s="52"/>
    </row>
    <row r="183" spans="1:7" ht="24.95" customHeight="1" x14ac:dyDescent="0.15">
      <c r="A183" s="204"/>
      <c r="B183" s="53" t="s">
        <v>421</v>
      </c>
      <c r="C183" s="152">
        <v>55</v>
      </c>
      <c r="D183" s="238">
        <v>92</v>
      </c>
      <c r="E183" s="152">
        <v>50</v>
      </c>
      <c r="F183" s="152">
        <v>42</v>
      </c>
      <c r="G183" s="52"/>
    </row>
    <row r="184" spans="1:7" ht="24.95" customHeight="1" x14ac:dyDescent="0.15">
      <c r="A184" s="204"/>
      <c r="B184" s="53" t="s">
        <v>422</v>
      </c>
      <c r="C184" s="152">
        <v>241</v>
      </c>
      <c r="D184" s="238">
        <v>435</v>
      </c>
      <c r="E184" s="152">
        <v>243</v>
      </c>
      <c r="F184" s="152">
        <v>192</v>
      </c>
      <c r="G184" s="52"/>
    </row>
    <row r="185" spans="1:7" ht="24.95" customHeight="1" x14ac:dyDescent="0.15">
      <c r="A185" s="204"/>
      <c r="B185" s="53" t="s">
        <v>423</v>
      </c>
      <c r="C185" s="152">
        <v>651</v>
      </c>
      <c r="D185" s="238">
        <v>1075</v>
      </c>
      <c r="E185" s="152">
        <v>634</v>
      </c>
      <c r="F185" s="152">
        <v>441</v>
      </c>
      <c r="G185" s="52"/>
    </row>
    <row r="186" spans="1:7" ht="24.95" customHeight="1" x14ac:dyDescent="0.15">
      <c r="A186" s="204"/>
      <c r="B186" s="53" t="s">
        <v>424</v>
      </c>
      <c r="C186" s="152">
        <v>115</v>
      </c>
      <c r="D186" s="238">
        <v>199</v>
      </c>
      <c r="E186" s="152">
        <v>108</v>
      </c>
      <c r="F186" s="152">
        <v>91</v>
      </c>
      <c r="G186" s="52"/>
    </row>
    <row r="187" spans="1:7" ht="24.95" customHeight="1" x14ac:dyDescent="0.15">
      <c r="A187" s="204"/>
      <c r="B187" s="53" t="s">
        <v>425</v>
      </c>
      <c r="C187" s="152">
        <v>179</v>
      </c>
      <c r="D187" s="238">
        <v>320</v>
      </c>
      <c r="E187" s="152">
        <v>166</v>
      </c>
      <c r="F187" s="152">
        <v>154</v>
      </c>
      <c r="G187" s="52"/>
    </row>
    <row r="188" spans="1:7" ht="24.95" customHeight="1" x14ac:dyDescent="0.15">
      <c r="A188" s="204"/>
      <c r="B188" s="53" t="s">
        <v>426</v>
      </c>
      <c r="C188" s="152">
        <v>128</v>
      </c>
      <c r="D188" s="238">
        <v>235</v>
      </c>
      <c r="E188" s="152">
        <v>133</v>
      </c>
      <c r="F188" s="152">
        <v>102</v>
      </c>
      <c r="G188" s="52"/>
    </row>
    <row r="189" spans="1:7" ht="24.95" customHeight="1" x14ac:dyDescent="0.15">
      <c r="A189" s="204"/>
      <c r="B189" s="53" t="s">
        <v>427</v>
      </c>
      <c r="C189" s="152">
        <v>203</v>
      </c>
      <c r="D189" s="238">
        <v>387</v>
      </c>
      <c r="E189" s="152">
        <v>203</v>
      </c>
      <c r="F189" s="152">
        <v>184</v>
      </c>
      <c r="G189" s="52"/>
    </row>
    <row r="190" spans="1:7" ht="24.95" customHeight="1" x14ac:dyDescent="0.15">
      <c r="A190" s="204"/>
      <c r="B190" s="53" t="s">
        <v>428</v>
      </c>
      <c r="C190" s="152">
        <v>166</v>
      </c>
      <c r="D190" s="238">
        <v>270</v>
      </c>
      <c r="E190" s="152">
        <v>150</v>
      </c>
      <c r="F190" s="152">
        <v>120</v>
      </c>
      <c r="G190" s="52"/>
    </row>
    <row r="191" spans="1:7" ht="24.95" customHeight="1" x14ac:dyDescent="0.15">
      <c r="A191" s="204"/>
      <c r="B191" s="53" t="s">
        <v>339</v>
      </c>
      <c r="C191" s="152">
        <v>382</v>
      </c>
      <c r="D191" s="238">
        <v>727</v>
      </c>
      <c r="E191" s="152">
        <v>382</v>
      </c>
      <c r="F191" s="152">
        <v>345</v>
      </c>
      <c r="G191" s="52"/>
    </row>
    <row r="192" spans="1:7" ht="24.95" customHeight="1" x14ac:dyDescent="0.15">
      <c r="A192" s="204"/>
      <c r="B192" s="53" t="s">
        <v>429</v>
      </c>
      <c r="C192" s="152">
        <v>163</v>
      </c>
      <c r="D192" s="238">
        <v>279</v>
      </c>
      <c r="E192" s="152">
        <v>148</v>
      </c>
      <c r="F192" s="152">
        <v>131</v>
      </c>
      <c r="G192" s="52"/>
    </row>
    <row r="193" spans="1:7" ht="24.95" customHeight="1" x14ac:dyDescent="0.15">
      <c r="A193" s="204"/>
      <c r="B193" s="53" t="s">
        <v>330</v>
      </c>
      <c r="C193" s="152">
        <v>91</v>
      </c>
      <c r="D193" s="238">
        <v>165</v>
      </c>
      <c r="E193" s="152">
        <v>90</v>
      </c>
      <c r="F193" s="152">
        <v>75</v>
      </c>
      <c r="G193" s="52"/>
    </row>
    <row r="194" spans="1:7" ht="24.95" customHeight="1" x14ac:dyDescent="0.15">
      <c r="A194" s="204"/>
      <c r="B194" s="53" t="s">
        <v>430</v>
      </c>
      <c r="C194" s="152">
        <v>39</v>
      </c>
      <c r="D194" s="238">
        <v>67</v>
      </c>
      <c r="E194" s="152">
        <v>40</v>
      </c>
      <c r="F194" s="152">
        <v>27</v>
      </c>
      <c r="G194" s="52"/>
    </row>
    <row r="195" spans="1:7" ht="24.95" customHeight="1" x14ac:dyDescent="0.15">
      <c r="A195" s="204"/>
      <c r="B195" s="53" t="s">
        <v>431</v>
      </c>
      <c r="C195" s="152">
        <v>80</v>
      </c>
      <c r="D195" s="238">
        <v>136</v>
      </c>
      <c r="E195" s="152">
        <v>71</v>
      </c>
      <c r="F195" s="152">
        <v>65</v>
      </c>
      <c r="G195" s="52"/>
    </row>
    <row r="196" spans="1:7" ht="24.95" customHeight="1" x14ac:dyDescent="0.15">
      <c r="A196" s="204"/>
      <c r="B196" s="53" t="s">
        <v>432</v>
      </c>
      <c r="C196" s="152">
        <v>110</v>
      </c>
      <c r="D196" s="238">
        <v>219</v>
      </c>
      <c r="E196" s="152">
        <v>117</v>
      </c>
      <c r="F196" s="152">
        <v>102</v>
      </c>
      <c r="G196" s="52"/>
    </row>
    <row r="197" spans="1:7" ht="24.95" customHeight="1" x14ac:dyDescent="0.15">
      <c r="A197" s="204"/>
      <c r="B197" s="53" t="s">
        <v>433</v>
      </c>
      <c r="C197" s="152">
        <v>128</v>
      </c>
      <c r="D197" s="238">
        <v>234</v>
      </c>
      <c r="E197" s="152">
        <v>129</v>
      </c>
      <c r="F197" s="152">
        <v>105</v>
      </c>
      <c r="G197" s="52"/>
    </row>
    <row r="198" spans="1:7" ht="24.95" customHeight="1" x14ac:dyDescent="0.15">
      <c r="A198" s="204"/>
      <c r="B198" s="53" t="s">
        <v>434</v>
      </c>
      <c r="C198" s="152">
        <v>225</v>
      </c>
      <c r="D198" s="238">
        <v>423</v>
      </c>
      <c r="E198" s="152">
        <v>224</v>
      </c>
      <c r="F198" s="152">
        <v>199</v>
      </c>
      <c r="G198" s="52"/>
    </row>
    <row r="199" spans="1:7" ht="24.95" customHeight="1" thickBot="1" x14ac:dyDescent="0.2">
      <c r="A199" s="204"/>
      <c r="B199" s="56" t="s">
        <v>435</v>
      </c>
      <c r="C199" s="152">
        <v>161</v>
      </c>
      <c r="D199" s="238">
        <v>278</v>
      </c>
      <c r="E199" s="152">
        <v>153</v>
      </c>
      <c r="F199" s="152">
        <v>125</v>
      </c>
      <c r="G199" s="57"/>
    </row>
    <row r="200" spans="1:7" ht="24.95" customHeight="1" thickTop="1" x14ac:dyDescent="0.15">
      <c r="A200" s="206" t="s">
        <v>308</v>
      </c>
      <c r="B200" s="50" t="s">
        <v>0</v>
      </c>
      <c r="C200" s="136">
        <f>SUM(C201:C202)</f>
        <v>9591</v>
      </c>
      <c r="D200" s="137">
        <f t="shared" ref="D200:F200" si="1">SUM(D201:D202)</f>
        <v>16778</v>
      </c>
      <c r="E200" s="136">
        <f t="shared" si="1"/>
        <v>8900</v>
      </c>
      <c r="F200" s="136">
        <f t="shared" si="1"/>
        <v>7878</v>
      </c>
      <c r="G200" s="51"/>
    </row>
    <row r="201" spans="1:7" ht="24.95" customHeight="1" x14ac:dyDescent="0.15">
      <c r="A201" s="204"/>
      <c r="B201" s="53" t="s">
        <v>436</v>
      </c>
      <c r="C201" s="126">
        <v>2008</v>
      </c>
      <c r="D201" s="238">
        <v>4440</v>
      </c>
      <c r="E201" s="126">
        <v>2219</v>
      </c>
      <c r="F201" s="126">
        <v>2221</v>
      </c>
      <c r="G201" s="70"/>
    </row>
    <row r="202" spans="1:7" ht="24.95" customHeight="1" thickBot="1" x14ac:dyDescent="0.2">
      <c r="A202" s="205"/>
      <c r="B202" s="58" t="s">
        <v>437</v>
      </c>
      <c r="C202" s="126">
        <v>7583</v>
      </c>
      <c r="D202" s="238">
        <v>12338</v>
      </c>
      <c r="E202" s="126">
        <v>6681</v>
      </c>
      <c r="F202" s="126">
        <v>5657</v>
      </c>
      <c r="G202" s="71"/>
    </row>
    <row r="203" spans="1:7" ht="24.95" customHeight="1" thickTop="1" x14ac:dyDescent="0.15">
      <c r="A203" s="206" t="s">
        <v>309</v>
      </c>
      <c r="B203" s="50" t="s">
        <v>0</v>
      </c>
      <c r="C203" s="136">
        <f t="shared" ref="C203" si="2">SUM(C204)</f>
        <v>17710</v>
      </c>
      <c r="D203" s="137">
        <f t="shared" ref="D203" si="3">SUM(D204)</f>
        <v>24417</v>
      </c>
      <c r="E203" s="136">
        <f t="shared" ref="E203" si="4">SUM(E204)</f>
        <v>13821</v>
      </c>
      <c r="F203" s="136">
        <f t="shared" ref="F203" si="5">SUM(F204)</f>
        <v>10596</v>
      </c>
      <c r="G203" s="51"/>
    </row>
    <row r="204" spans="1:7" ht="24.95" customHeight="1" thickBot="1" x14ac:dyDescent="0.2">
      <c r="A204" s="205"/>
      <c r="B204" s="58" t="s">
        <v>437</v>
      </c>
      <c r="C204" s="153">
        <v>17710</v>
      </c>
      <c r="D204" s="239">
        <v>24417</v>
      </c>
      <c r="E204" s="153">
        <v>13821</v>
      </c>
      <c r="F204" s="153">
        <v>10596</v>
      </c>
      <c r="G204" s="59"/>
    </row>
    <row r="205" spans="1:7" ht="24.95" customHeight="1" thickTop="1" x14ac:dyDescent="0.15">
      <c r="A205" s="206" t="s">
        <v>310</v>
      </c>
      <c r="B205" s="66" t="s">
        <v>0</v>
      </c>
      <c r="C205" s="144">
        <f t="shared" ref="C205" si="6">SUM(C206)</f>
        <v>6139</v>
      </c>
      <c r="D205" s="137">
        <f t="shared" ref="D205" si="7">SUM(D206)</f>
        <v>12178</v>
      </c>
      <c r="E205" s="144">
        <f t="shared" ref="E205" si="8">SUM(E206)</f>
        <v>5982</v>
      </c>
      <c r="F205" s="144">
        <f t="shared" ref="F205" si="9">SUM(F206)</f>
        <v>6196</v>
      </c>
      <c r="G205" s="67"/>
    </row>
    <row r="206" spans="1:7" ht="24.95" customHeight="1" thickBot="1" x14ac:dyDescent="0.2">
      <c r="A206" s="205"/>
      <c r="B206" s="56" t="s">
        <v>397</v>
      </c>
      <c r="C206" s="242">
        <v>6139</v>
      </c>
      <c r="D206" s="241">
        <v>12178</v>
      </c>
      <c r="E206" s="242">
        <v>5982</v>
      </c>
      <c r="F206" s="242">
        <v>6196</v>
      </c>
      <c r="G206" s="57"/>
    </row>
    <row r="207" spans="1:7" ht="24.95" customHeight="1" thickTop="1" x14ac:dyDescent="0.15">
      <c r="A207" s="206" t="s">
        <v>311</v>
      </c>
      <c r="B207" s="50" t="s">
        <v>0</v>
      </c>
      <c r="C207" s="136">
        <f t="shared" ref="C207" si="10">SUM(C208)</f>
        <v>14880</v>
      </c>
      <c r="D207" s="137">
        <f t="shared" ref="D207" si="11">SUM(D208)</f>
        <v>33638</v>
      </c>
      <c r="E207" s="136">
        <f t="shared" ref="E207" si="12">SUM(E208)</f>
        <v>16472</v>
      </c>
      <c r="F207" s="136">
        <f t="shared" ref="F207" si="13">SUM(F208)</f>
        <v>17166</v>
      </c>
      <c r="G207" s="51"/>
    </row>
    <row r="208" spans="1:7" ht="24.95" customHeight="1" thickBot="1" x14ac:dyDescent="0.2">
      <c r="A208" s="205"/>
      <c r="B208" s="58" t="s">
        <v>397</v>
      </c>
      <c r="C208" s="247">
        <v>14880</v>
      </c>
      <c r="D208" s="246">
        <v>33638</v>
      </c>
      <c r="E208" s="248">
        <v>16472</v>
      </c>
      <c r="F208" s="167">
        <v>17166</v>
      </c>
      <c r="G208" s="59"/>
    </row>
    <row r="209" spans="1:7" ht="24.95" customHeight="1" thickTop="1" x14ac:dyDescent="0.15">
      <c r="A209" s="206" t="s">
        <v>312</v>
      </c>
      <c r="B209" s="50" t="s">
        <v>0</v>
      </c>
      <c r="C209" s="136">
        <f t="shared" ref="C209" si="14">SUM(C210)</f>
        <v>8085</v>
      </c>
      <c r="D209" s="137">
        <f t="shared" ref="D209" si="15">SUM(D210)</f>
        <v>16753</v>
      </c>
      <c r="E209" s="136">
        <f t="shared" ref="E209" si="16">SUM(E210)</f>
        <v>8091</v>
      </c>
      <c r="F209" s="136">
        <f t="shared" ref="F209" si="17">SUM(F210)</f>
        <v>8662</v>
      </c>
      <c r="G209" s="51"/>
    </row>
    <row r="210" spans="1:7" ht="24.95" customHeight="1" thickBot="1" x14ac:dyDescent="0.2">
      <c r="A210" s="205"/>
      <c r="B210" s="58" t="s">
        <v>397</v>
      </c>
      <c r="C210" s="126">
        <v>8085</v>
      </c>
      <c r="D210" s="241">
        <v>16753</v>
      </c>
      <c r="E210" s="159">
        <v>8091</v>
      </c>
      <c r="F210" s="159">
        <v>8662</v>
      </c>
      <c r="G210" s="59"/>
    </row>
    <row r="211" spans="1:7" ht="24.95" customHeight="1" thickTop="1" x14ac:dyDescent="0.15">
      <c r="A211" s="206" t="s">
        <v>313</v>
      </c>
      <c r="B211" s="50" t="s">
        <v>0</v>
      </c>
      <c r="C211" s="136">
        <f t="shared" ref="C211" si="18">SUM(C212)</f>
        <v>15412</v>
      </c>
      <c r="D211" s="137">
        <f t="shared" ref="D211" si="19">SUM(D212)</f>
        <v>40263</v>
      </c>
      <c r="E211" s="136">
        <f t="shared" ref="E211" si="20">SUM(E212)</f>
        <v>20267</v>
      </c>
      <c r="F211" s="136">
        <f t="shared" ref="F211" si="21">SUM(F212)</f>
        <v>19996</v>
      </c>
      <c r="G211" s="51"/>
    </row>
    <row r="212" spans="1:7" ht="24.95" customHeight="1" thickBot="1" x14ac:dyDescent="0.2">
      <c r="A212" s="205"/>
      <c r="B212" s="54" t="s">
        <v>438</v>
      </c>
      <c r="C212" s="250">
        <v>15412</v>
      </c>
      <c r="D212" s="238">
        <v>40263</v>
      </c>
      <c r="E212" s="152">
        <v>20267</v>
      </c>
      <c r="F212" s="152">
        <v>19996</v>
      </c>
      <c r="G212" s="55"/>
    </row>
    <row r="213" spans="1:7" ht="24.95" customHeight="1" thickTop="1" x14ac:dyDescent="0.15">
      <c r="A213" s="206" t="s">
        <v>314</v>
      </c>
      <c r="B213" s="50" t="s">
        <v>0</v>
      </c>
      <c r="C213" s="136">
        <f t="shared" ref="C213:F213" si="22">SUM(C214)</f>
        <v>13171</v>
      </c>
      <c r="D213" s="137">
        <f t="shared" si="22"/>
        <v>31541</v>
      </c>
      <c r="E213" s="136">
        <f t="shared" si="22"/>
        <v>15819</v>
      </c>
      <c r="F213" s="136">
        <f t="shared" si="22"/>
        <v>15722</v>
      </c>
      <c r="G213" s="51"/>
    </row>
    <row r="214" spans="1:7" ht="24.95" customHeight="1" thickBot="1" x14ac:dyDescent="0.2">
      <c r="A214" s="205"/>
      <c r="B214" s="58" t="s">
        <v>439</v>
      </c>
      <c r="C214" s="252">
        <v>13171</v>
      </c>
      <c r="D214" s="238">
        <v>31541</v>
      </c>
      <c r="E214" s="252">
        <v>15819</v>
      </c>
      <c r="F214" s="252">
        <v>15722</v>
      </c>
      <c r="G214" s="59"/>
    </row>
    <row r="215" spans="1:7" ht="24.95" customHeight="1" thickTop="1" x14ac:dyDescent="0.15">
      <c r="A215" s="206" t="s">
        <v>315</v>
      </c>
      <c r="B215" s="72" t="s">
        <v>0</v>
      </c>
      <c r="C215" s="144">
        <f>SUM(C216)</f>
        <v>14357</v>
      </c>
      <c r="D215" s="137">
        <f>SUM(D216)</f>
        <v>37287</v>
      </c>
      <c r="E215" s="144">
        <f t="shared" ref="E215:F215" si="23">SUM(E216)</f>
        <v>18605</v>
      </c>
      <c r="F215" s="144">
        <f t="shared" si="23"/>
        <v>18682</v>
      </c>
      <c r="G215" s="73"/>
    </row>
    <row r="216" spans="1:7" ht="24.95" customHeight="1" thickBot="1" x14ac:dyDescent="0.2">
      <c r="A216" s="205"/>
      <c r="B216" s="54" t="s">
        <v>439</v>
      </c>
      <c r="C216" s="250">
        <v>14357</v>
      </c>
      <c r="D216" s="254">
        <v>37287</v>
      </c>
      <c r="E216" s="250">
        <v>18605</v>
      </c>
      <c r="F216" s="250">
        <v>18682</v>
      </c>
      <c r="G216" s="55"/>
    </row>
    <row r="217" spans="1:7" ht="24.95" customHeight="1" thickTop="1" x14ac:dyDescent="0.15">
      <c r="A217" s="206" t="s">
        <v>316</v>
      </c>
      <c r="B217" s="50" t="s">
        <v>0</v>
      </c>
      <c r="C217" s="136">
        <f t="shared" ref="C217" si="24">SUM(C218:C221)</f>
        <v>29302</v>
      </c>
      <c r="D217" s="143">
        <f>SUM(D218:D221)</f>
        <v>56813</v>
      </c>
      <c r="E217" s="136">
        <f t="shared" ref="E217:F217" si="25">SUM(E218:E221)</f>
        <v>29393</v>
      </c>
      <c r="F217" s="136">
        <f t="shared" si="25"/>
        <v>27420</v>
      </c>
      <c r="G217" s="51"/>
    </row>
    <row r="218" spans="1:7" ht="24.95" customHeight="1" x14ac:dyDescent="0.15">
      <c r="A218" s="204"/>
      <c r="B218" s="53" t="s">
        <v>440</v>
      </c>
      <c r="C218" s="152">
        <v>24943</v>
      </c>
      <c r="D218" s="238">
        <v>48360</v>
      </c>
      <c r="E218" s="152">
        <v>24897</v>
      </c>
      <c r="F218" s="152">
        <v>23463</v>
      </c>
      <c r="G218" s="52"/>
    </row>
    <row r="219" spans="1:7" ht="24.95" customHeight="1" x14ac:dyDescent="0.15">
      <c r="A219" s="204"/>
      <c r="B219" s="53" t="s">
        <v>441</v>
      </c>
      <c r="C219" s="152">
        <v>315</v>
      </c>
      <c r="D219" s="238">
        <v>649</v>
      </c>
      <c r="E219" s="152">
        <v>360</v>
      </c>
      <c r="F219" s="152">
        <v>289</v>
      </c>
      <c r="G219" s="52"/>
    </row>
    <row r="220" spans="1:7" ht="24.95" customHeight="1" x14ac:dyDescent="0.15">
      <c r="A220" s="204"/>
      <c r="B220" s="53" t="s">
        <v>442</v>
      </c>
      <c r="C220" s="152">
        <v>1800</v>
      </c>
      <c r="D220" s="238">
        <v>3489</v>
      </c>
      <c r="E220" s="152">
        <v>1857</v>
      </c>
      <c r="F220" s="152">
        <v>1632</v>
      </c>
      <c r="G220" s="52"/>
    </row>
    <row r="221" spans="1:7" ht="24.95" customHeight="1" thickBot="1" x14ac:dyDescent="0.2">
      <c r="A221" s="204"/>
      <c r="B221" s="53" t="s">
        <v>443</v>
      </c>
      <c r="C221" s="153">
        <v>2244</v>
      </c>
      <c r="D221" s="238">
        <v>4315</v>
      </c>
      <c r="E221" s="153">
        <v>2279</v>
      </c>
      <c r="F221" s="153">
        <v>2036</v>
      </c>
      <c r="G221" s="52"/>
    </row>
    <row r="222" spans="1:7" ht="24.95" customHeight="1" thickTop="1" x14ac:dyDescent="0.15">
      <c r="A222" s="206" t="s">
        <v>317</v>
      </c>
      <c r="B222" s="50" t="s">
        <v>0</v>
      </c>
      <c r="C222" s="136">
        <f>SUM(C223:C225)</f>
        <v>27882</v>
      </c>
      <c r="D222" s="137">
        <f>SUM(D223:D225)</f>
        <v>63877</v>
      </c>
      <c r="E222" s="136">
        <f>SUM(E223:E225)</f>
        <v>33856</v>
      </c>
      <c r="F222" s="136">
        <f>SUM(F223:F225)</f>
        <v>30021</v>
      </c>
      <c r="G222" s="51"/>
    </row>
    <row r="223" spans="1:7" ht="24.95" customHeight="1" x14ac:dyDescent="0.15">
      <c r="A223" s="204"/>
      <c r="B223" s="74" t="s">
        <v>440</v>
      </c>
      <c r="C223" s="126">
        <v>12943</v>
      </c>
      <c r="D223" s="238">
        <v>25152</v>
      </c>
      <c r="E223" s="126">
        <v>13813</v>
      </c>
      <c r="F223" s="126">
        <v>11339</v>
      </c>
      <c r="G223" s="52"/>
    </row>
    <row r="224" spans="1:7" ht="24.95" customHeight="1" x14ac:dyDescent="0.15">
      <c r="A224" s="204"/>
      <c r="B224" s="74" t="s">
        <v>444</v>
      </c>
      <c r="C224" s="126">
        <v>9507</v>
      </c>
      <c r="D224" s="238">
        <v>26250</v>
      </c>
      <c r="E224" s="126">
        <v>13365</v>
      </c>
      <c r="F224" s="126">
        <v>12885</v>
      </c>
      <c r="G224" s="52"/>
    </row>
    <row r="225" spans="1:7" ht="24.95" customHeight="1" thickBot="1" x14ac:dyDescent="0.2">
      <c r="A225" s="220"/>
      <c r="B225" s="74" t="s">
        <v>445</v>
      </c>
      <c r="C225" s="151">
        <v>5432</v>
      </c>
      <c r="D225" s="257">
        <v>12475</v>
      </c>
      <c r="E225" s="151">
        <v>6678</v>
      </c>
      <c r="F225" s="151">
        <v>5797</v>
      </c>
      <c r="G225" s="75"/>
    </row>
    <row r="226" spans="1:7" ht="22.5" customHeight="1" thickTop="1" x14ac:dyDescent="0.15">
      <c r="A226" s="99" t="s">
        <v>321</v>
      </c>
      <c r="B226" s="108"/>
      <c r="C226" s="109"/>
      <c r="D226" s="110"/>
      <c r="E226" s="109"/>
      <c r="F226" s="109"/>
      <c r="G226" s="111"/>
    </row>
  </sheetData>
  <mergeCells count="39">
    <mergeCell ref="A222:A225"/>
    <mergeCell ref="A203:A204"/>
    <mergeCell ref="A205:A206"/>
    <mergeCell ref="A207:A208"/>
    <mergeCell ref="A209:A210"/>
    <mergeCell ref="A211:A212"/>
    <mergeCell ref="A213:A214"/>
    <mergeCell ref="A217:A221"/>
    <mergeCell ref="A215:A216"/>
    <mergeCell ref="A106:A107"/>
    <mergeCell ref="A109:A112"/>
    <mergeCell ref="A200:A202"/>
    <mergeCell ref="A115:A117"/>
    <mergeCell ref="A118:A120"/>
    <mergeCell ref="A121:A123"/>
    <mergeCell ref="A124:A129"/>
    <mergeCell ref="A130:A132"/>
    <mergeCell ref="A134:A148"/>
    <mergeCell ref="A149:A151"/>
    <mergeCell ref="A113:A114"/>
    <mergeCell ref="A152:A165"/>
    <mergeCell ref="A181:A199"/>
    <mergeCell ref="A166:A180"/>
    <mergeCell ref="A71:A77"/>
    <mergeCell ref="A78:A87"/>
    <mergeCell ref="A88:A99"/>
    <mergeCell ref="A100:A104"/>
    <mergeCell ref="A1:G1"/>
    <mergeCell ref="F2:G2"/>
    <mergeCell ref="A3:A4"/>
    <mergeCell ref="B3:B4"/>
    <mergeCell ref="C3:C4"/>
    <mergeCell ref="D3:F3"/>
    <mergeCell ref="G3:G4"/>
    <mergeCell ref="A7:A25"/>
    <mergeCell ref="A26:A34"/>
    <mergeCell ref="A35:A46"/>
    <mergeCell ref="A47:A60"/>
    <mergeCell ref="A61:A70"/>
  </mergeCells>
  <phoneticPr fontId="3" type="noConversion"/>
  <pageMargins left="0.39370078740157483" right="0.27559055118110237" top="0.82" bottom="0.3" header="0.31496062992125984" footer="0.17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행정통(리)인구</vt:lpstr>
      <vt:lpstr>법정동(리)인구</vt:lpstr>
      <vt:lpstr>'행정통(리)인구'!Print_Area</vt:lpstr>
      <vt:lpstr>'법정동(리)인구'!Print_Titles</vt:lpstr>
      <vt:lpstr>'행정통(리)인구'!Print_Titles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2023-09-01T01:03:45Z</cp:lastPrinted>
  <dcterms:created xsi:type="dcterms:W3CDTF">2016-12-01T01:27:42Z</dcterms:created>
  <dcterms:modified xsi:type="dcterms:W3CDTF">2026-07-01T07:44:49Z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NDA5IiwibG9nVGltZSI6IjIwMjYtMDUtMjhUMDA6MzI6MThaIiwicElEIjoxLCJwcm9jZXNzSWQiOjMxNDg4LCJwcm9jZXNzTmFtZSI6IkVYQ0VMLkVYRSIsInRyYWNlSWQiOiI5ODk4RTk4Qjc4ODQ0QUEyQjY0QjA0OTBFQTVGNUE1QSIsInVzZXJDb2RlIjoiY3kyMSJ9LCJub2RlMiI6eyJkc2QiOiIwMTAwMDAwMDAwMDAyNDA5IiwibG9nVGltZSI6IjIwMjYtMDUtMjhUMDA6NTk6NDZaIiwicElEIjoxLCJwcm9jZXNzSWQiOjMxNDg4LCJwcm9jZXNzTmFtZSI6IkVYQ0VMLkVYRSIsInRyYWNlSWQiOiJBMkI4QTREOUU4NzM0QkZFOTZCMEUyQjAwRTkyMkVFMyIsInVzZXJDb2RlIjoiY3kyMSJ9LCJub2RlMyI6eyJkc2QiOiIwMTAwMDAwMDAwMDAyNDA5IiwibG9nVGltZSI6IjIwMjYtMDYtMzBUMDA6Mjk6NTJaIiwicElEIjoxLCJwcm9jZXNzSWQiOjMxNDg4LCJwcm9jZXNzTmFtZSI6IkVYQ0VMLkVYRSIsInRyYWNlSWQiOiJGN0I0MjM3NTZCRjA0OTRDODQ4Q0ZBMjFCNjc4ODg2MyIsInVzZXJDb2RlIjoiY3kyMSJ9LCJub2RlNCI6eyJkc2QiOiIwMTAwMDAwMDAwMDAyNDA5IiwibG9nVGltZSI6IjIwMjYtMDctMDFUMDU6MzA6NTRaIiwicElEIjoxLCJwcm9jZXNzSWQiOjMxNDg4LCJwcm9jZXNzTmFtZSI6IkVYQ0VMLkVYRSIsInRyYWNlSWQiOiJENTI1NUUxRUMyOUE0NzU4OEM2MzEwODlCRTYxMDMxRiIsInVzZXJDb2RlIjoiY3kyMSJ9LCJub2RlNSI6eyJkc2QiOiIwMDAwMDAwMDAwMDAwMDAwIiwibG9nVGltZSI6IjIwMjYtMDctMDJUMDQ6Mjc6MTlaIiwicElEIjoyMDQ4LCJwcm9jZXNzSWQiOjIzMDEyLCJwcm9jZXNzTmFtZSI6IkVYQ0VMLkVYRSIsInRyYWNlSWQiOiJDRkM2MTA1Njg4Mzk0MEQzQTI5QkY4MENEQURERjU4OSIsInVzZXJDb2RlIjoiY3kyMSJ9LCJub2RlQ291bnQiOjIwLCJyb290VHJhY2VJZCI6IkM1NzlBMkRGRjU5MDREQjY5NDQ5OTY1ODdCNjlCMEU3In0=</vt:lpwstr>
  </property>
</Properties>
</file>